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51757ddc6594b4f/Airfeet/Airfeet/Airfeet 2025 Orders/"/>
    </mc:Choice>
  </mc:AlternateContent>
  <xr:revisionPtr revIDLastSave="5" documentId="8_{058E2848-10A7-44C3-A807-EF67D090ECC4}" xr6:coauthVersionLast="47" xr6:coauthVersionMax="47" xr10:uidLastSave="{D1CF2AA3-85D5-428D-A6EF-04A8776293BD}"/>
  <bookViews>
    <workbookView xWindow="-90" yWindow="-90" windowWidth="19380" windowHeight="11460" xr2:uid="{00000000-000D-0000-FFFF-FFFF00000000}"/>
  </bookViews>
  <sheets>
    <sheet name="Airfeet Order Form" sheetId="20" r:id="rId1"/>
  </sheets>
  <definedNames>
    <definedName name="_xlnm.Print_Area" localSheetId="0">'Airfeet Order Form'!$1:$56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3" i="20" l="1"/>
  <c r="N44" i="20"/>
  <c r="N37" i="20"/>
  <c r="O37" i="20" s="1"/>
  <c r="N38" i="20"/>
  <c r="O38" i="20" s="1"/>
  <c r="N39" i="20"/>
  <c r="O39" i="20" s="1"/>
  <c r="N36" i="20"/>
  <c r="O36" i="20" s="1"/>
  <c r="N34" i="20"/>
  <c r="N35" i="20" s="1"/>
  <c r="N33" i="20"/>
  <c r="N32" i="20"/>
  <c r="N31" i="20"/>
  <c r="N29" i="20"/>
  <c r="O29" i="20" s="1"/>
  <c r="N28" i="20"/>
  <c r="O28" i="20" s="1"/>
  <c r="N27" i="20"/>
  <c r="O27" i="20" s="1"/>
  <c r="N26" i="20"/>
  <c r="O26" i="20" s="1"/>
  <c r="N24" i="20"/>
  <c r="O24" i="20" s="1"/>
  <c r="N23" i="20"/>
  <c r="N41" i="20"/>
  <c r="O30" i="20" l="1"/>
  <c r="N30" i="20"/>
  <c r="N42" i="20"/>
  <c r="O23" i="20" l="1"/>
  <c r="O31" i="20"/>
  <c r="O32" i="20"/>
  <c r="O33" i="20"/>
  <c r="O34" i="20"/>
  <c r="O40" i="20"/>
  <c r="O50" i="20" s="1"/>
  <c r="O46" i="20"/>
  <c r="O52" i="20" s="1"/>
  <c r="N45" i="20"/>
  <c r="N46" i="20" s="1"/>
  <c r="N52" i="20" s="1"/>
  <c r="O35" i="20" l="1"/>
  <c r="N40" i="20"/>
  <c r="N50" i="20" s="1"/>
  <c r="O25" i="20"/>
  <c r="O49" i="20" s="1"/>
  <c r="O51" i="20" s="1"/>
  <c r="N25" i="20"/>
  <c r="N49" i="20" s="1"/>
  <c r="N51" i="20" s="1"/>
  <c r="O54" i="20" l="1"/>
  <c r="O55" i="20" s="1"/>
</calcChain>
</file>

<file path=xl/sharedStrings.xml><?xml version="1.0" encoding="utf-8"?>
<sst xmlns="http://schemas.openxmlformats.org/spreadsheetml/2006/main" count="127" uniqueCount="115">
  <si>
    <t>SALESMAN</t>
  </si>
  <si>
    <t>ORDER DATE</t>
  </si>
  <si>
    <t>BUYER</t>
  </si>
  <si>
    <t>SHIP DATE</t>
  </si>
  <si>
    <t>SOLD TO</t>
  </si>
  <si>
    <t>PHONE</t>
  </si>
  <si>
    <t>EMAIL</t>
  </si>
  <si>
    <t>BILL TO</t>
  </si>
  <si>
    <t>SHIP TO</t>
  </si>
  <si>
    <t>ADDRESS</t>
  </si>
  <si>
    <t>TELEPHONE</t>
  </si>
  <si>
    <t xml:space="preserve"> </t>
  </si>
  <si>
    <t>ACCT TYPE</t>
  </si>
  <si>
    <t>PO#</t>
  </si>
  <si>
    <t>ACCOUNT #</t>
  </si>
  <si>
    <t>TERMS</t>
  </si>
  <si>
    <t>SHIP VIA</t>
  </si>
  <si>
    <t>Product</t>
  </si>
  <si>
    <t>MSRP</t>
  </si>
  <si>
    <t>Wholesale  Price</t>
  </si>
  <si>
    <t>S</t>
  </si>
  <si>
    <t>M</t>
  </si>
  <si>
    <t>L</t>
  </si>
  <si>
    <t>XL</t>
  </si>
  <si>
    <t>TOTAL Items</t>
  </si>
  <si>
    <t>TOTAL Value</t>
  </si>
  <si>
    <t>NOTES:</t>
  </si>
  <si>
    <t>Program Discount-</t>
  </si>
  <si>
    <t>TOTAL-</t>
  </si>
  <si>
    <t>$ Discounts-</t>
  </si>
  <si>
    <t>NOTE:</t>
  </si>
  <si>
    <t>PROGRAM</t>
  </si>
  <si>
    <t>SubTotal-</t>
  </si>
  <si>
    <t>Counter Display</t>
  </si>
  <si>
    <t>Insoles</t>
  </si>
  <si>
    <t>SM</t>
  </si>
  <si>
    <t>ML</t>
  </si>
  <si>
    <t>SPORT O2 size S</t>
  </si>
  <si>
    <t>OUTDOOR O2 size S</t>
  </si>
  <si>
    <t>OUTDOOR O2 size M</t>
  </si>
  <si>
    <t>OUTDOOR O2 size L</t>
  </si>
  <si>
    <t>OUTDOOR O2 size XL</t>
  </si>
  <si>
    <t>SPORT O2 size M</t>
  </si>
  <si>
    <t>SPORT O2 size L</t>
  </si>
  <si>
    <t>SPORT O2 size XL</t>
  </si>
  <si>
    <t>UPC</t>
  </si>
  <si>
    <t>AIRfeet SKU</t>
  </si>
  <si>
    <t>AF000RSMO2</t>
  </si>
  <si>
    <t>AF000RMLO2</t>
  </si>
  <si>
    <t>AIRfeet reLive FootFIXR DIMPLE</t>
  </si>
  <si>
    <t>AF00FXRD</t>
  </si>
  <si>
    <t>AF00FXRS</t>
  </si>
  <si>
    <t>Accessories</t>
  </si>
  <si>
    <t>AIRfeet reLive ArchBAND</t>
  </si>
  <si>
    <t>AF00ABND</t>
  </si>
  <si>
    <t>AIRfeet reLive ROLLER</t>
  </si>
  <si>
    <t>AIRboard</t>
  </si>
  <si>
    <t>FREE with Qualifying Order 20+</t>
  </si>
  <si>
    <t>AF000RLR</t>
  </si>
  <si>
    <t>AIRfeet reLive FootFIXR SMOOTH</t>
  </si>
  <si>
    <t>AF000BRD</t>
  </si>
  <si>
    <t>AF000CTD</t>
  </si>
  <si>
    <t>24" Pullup Banner</t>
  </si>
  <si>
    <t>AF00024R</t>
  </si>
  <si>
    <t>NA</t>
  </si>
  <si>
    <t>FREE with Qualifying Order 125+ if requested</t>
  </si>
  <si>
    <t>Fabric pull up banner suitable for indoor use and can be placed in any location</t>
  </si>
  <si>
    <t>MOQ</t>
  </si>
  <si>
    <t>Sales Tool at display or counter area, Includes 1 pair of Insoles attached to flexible Rubber Mat</t>
  </si>
  <si>
    <t>Coming Soon - fits conveniently onto all shelves. If you are using peg hangers we will not include this.</t>
  </si>
  <si>
    <t>Note: Complimentary Counter Display will be sent with every new Qualifying order</t>
  </si>
  <si>
    <t>Header Cards</t>
  </si>
  <si>
    <t xml:space="preserve">Header card for wall or above display. Comes with Adhesive pads and 2 slat wall clips. Style TBD </t>
  </si>
  <si>
    <t>AF00HC##</t>
  </si>
  <si>
    <t>FREE with Qualifying Order 20+ &amp; if space permits</t>
  </si>
  <si>
    <t>Floor Display</t>
  </si>
  <si>
    <t>TBD</t>
  </si>
  <si>
    <t>FREE with Qualifying Order 80+</t>
  </si>
  <si>
    <t>AF00FD##</t>
  </si>
  <si>
    <t>Floor display design may vary from images. Metal rack display may be an alternate</t>
  </si>
  <si>
    <r>
      <t xml:space="preserve">RELIEF (MOQ can be mixed) </t>
    </r>
    <r>
      <rPr>
        <b/>
        <sz val="12"/>
        <rFont val="Arial"/>
        <family val="2"/>
      </rPr>
      <t>Includes 1 shelf  display</t>
    </r>
  </si>
  <si>
    <t>** Minimum Opening Order 24 pieces/12 pieces on reorders</t>
  </si>
  <si>
    <r>
      <t xml:space="preserve">OUTDOOR (MOQ can be mixed) </t>
    </r>
    <r>
      <rPr>
        <b/>
        <sz val="14"/>
        <rFont val="Arial"/>
        <family val="2"/>
      </rPr>
      <t>Includes 1 shelf display</t>
    </r>
  </si>
  <si>
    <t>Insole Sub Total-</t>
  </si>
  <si>
    <t>Accessory Sub Total-</t>
  </si>
  <si>
    <t>Product Total-</t>
  </si>
  <si>
    <t>POP Total-</t>
  </si>
  <si>
    <t>Point of Purchase Products (POP)</t>
  </si>
  <si>
    <t>RELIEF O2 size SM</t>
  </si>
  <si>
    <t>RELIEF O2 size ML</t>
  </si>
  <si>
    <t>AF00TO2S</t>
  </si>
  <si>
    <t>AF00TO2M</t>
  </si>
  <si>
    <t>AF00TO2L</t>
  </si>
  <si>
    <t>AF00TO2X</t>
  </si>
  <si>
    <t>AF00SO2S</t>
  </si>
  <si>
    <t>AF00SO2M</t>
  </si>
  <si>
    <t>AF00SO2L</t>
  </si>
  <si>
    <t>AF00SO2X</t>
  </si>
  <si>
    <t>ASAP</t>
  </si>
  <si>
    <t>Kelly Walker</t>
  </si>
  <si>
    <t>253-473-4290</t>
  </si>
  <si>
    <t>Pro Golf Discount, Inc.</t>
  </si>
  <si>
    <t>13405 SE 30th St. STE 1A</t>
  </si>
  <si>
    <t>Bellevue, WA  98005</t>
  </si>
  <si>
    <t>Ph 425-401-0388</t>
  </si>
  <si>
    <t>Pro Golf Tacoma Store</t>
  </si>
  <si>
    <t>5015 Tacoma Mall Blvd</t>
  </si>
  <si>
    <t>Tacoma, WA  98409</t>
  </si>
  <si>
    <t>Ph 253-473-4290</t>
  </si>
  <si>
    <t>Off Course</t>
  </si>
  <si>
    <t>Net 30</t>
  </si>
  <si>
    <t>Scott Hanson</t>
  </si>
  <si>
    <t>Tacoma@progolfseattle.com</t>
  </si>
  <si>
    <t>SPORT O2  (MOQ can be mixed)</t>
  </si>
  <si>
    <t>24+ Program -15%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</si>
</sst>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[$$-409]* #,##0.00_ ;_-[$$-409]* \-#,##0.00\ ;_-[$$-409]* &quot;-&quot;??_ ;_-@_ "/>
    <numFmt numFmtId="165" formatCode="[$£-809]#,##0.00;\-[$£-809]#,##0.00"/>
    <numFmt numFmtId="166" formatCode="m/d/yy;@"/>
  </numFmts>
  <fonts count="34" x14ac:knownFonts="1">
    <font>
      <sz val="12"/>
      <color rgb="FF000000"/>
      <name val="Calibri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sz val="8"/>
      <name val="Calibri"/>
      <family val="2"/>
    </font>
    <font>
      <sz val="16"/>
      <name val="Arial"/>
      <family val="2"/>
    </font>
    <font>
      <sz val="20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34"/>
      <name val="Arial"/>
      <family val="2"/>
    </font>
    <font>
      <b/>
      <sz val="28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u/>
      <sz val="24"/>
      <color theme="10"/>
      <name val="Arial"/>
      <family val="2"/>
    </font>
    <font>
      <sz val="20"/>
      <color rgb="FF000000"/>
      <name val="Arial"/>
      <family val="2"/>
    </font>
    <font>
      <sz val="18"/>
      <name val="Arial"/>
      <family val="2"/>
    </font>
    <font>
      <sz val="24"/>
      <color rgb="FFFF0000"/>
      <name val="Arial"/>
      <family val="2"/>
    </font>
    <font>
      <b/>
      <sz val="28"/>
      <color rgb="FF00B050"/>
      <name val="Arial"/>
      <family val="2"/>
    </font>
    <font>
      <b/>
      <sz val="28"/>
      <color rgb="FFFF0000"/>
      <name val="Arial"/>
      <family val="2"/>
    </font>
    <font>
      <b/>
      <sz val="16"/>
      <name val="Arial"/>
      <family val="2"/>
    </font>
    <font>
      <sz val="20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b/>
      <sz val="22"/>
      <color rgb="FFFF0000"/>
      <name val="Arial"/>
      <family val="2"/>
    </font>
    <font>
      <b/>
      <sz val="16"/>
      <color rgb="FFFF0000"/>
      <name val="Arial"/>
      <family val="2"/>
    </font>
    <font>
      <sz val="22"/>
      <color rgb="FF000000"/>
      <name val="Arial"/>
      <family val="2"/>
    </font>
    <font>
      <b/>
      <sz val="36"/>
      <name val="Arial"/>
      <family val="2"/>
    </font>
    <font>
      <b/>
      <sz val="12"/>
      <color rgb="FF000000"/>
      <name val="Arial"/>
      <family val="2"/>
    </font>
    <font>
      <b/>
      <sz val="20"/>
      <color rgb="FF000000"/>
      <name val="Arial"/>
      <family val="2"/>
    </font>
    <font>
      <b/>
      <sz val="14"/>
      <name val="Arial"/>
      <family val="2"/>
    </font>
    <font>
      <b/>
      <sz val="20"/>
      <color rgb="FFFF0000"/>
      <name val="Arial"/>
      <family val="2"/>
    </font>
    <font>
      <u/>
      <sz val="20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3399FF"/>
        <bgColor rgb="FF00B0F0"/>
      </patternFill>
    </fill>
    <fill>
      <patternFill patternType="solid">
        <fgColor rgb="FF3399FF"/>
        <bgColor rgb="FFFFFFFF"/>
      </patternFill>
    </fill>
    <fill>
      <patternFill patternType="solid">
        <fgColor theme="5"/>
        <bgColor rgb="FFFFFFFF"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5">
    <xf numFmtId="0" fontId="0" fillId="0" borderId="0" xfId="0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27" xfId="0" applyFont="1" applyFill="1" applyBorder="1" applyAlignment="1">
      <alignment horizontal="center"/>
    </xf>
    <xf numFmtId="1" fontId="5" fillId="2" borderId="1" xfId="0" applyNumberFormat="1" applyFont="1" applyFill="1" applyBorder="1"/>
    <xf numFmtId="3" fontId="4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/>
    <xf numFmtId="0" fontId="5" fillId="2" borderId="27" xfId="0" applyFont="1" applyFill="1" applyBorder="1"/>
    <xf numFmtId="164" fontId="6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8" fillId="0" borderId="0" xfId="0" applyFont="1"/>
    <xf numFmtId="0" fontId="9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165" fontId="5" fillId="2" borderId="1" xfId="0" applyNumberFormat="1" applyFont="1" applyFill="1" applyBorder="1"/>
    <xf numFmtId="0" fontId="4" fillId="2" borderId="27" xfId="0" applyFont="1" applyFill="1" applyBorder="1" applyAlignment="1">
      <alignment horizontal="left"/>
    </xf>
    <xf numFmtId="1" fontId="5" fillId="2" borderId="27" xfId="0" applyNumberFormat="1" applyFont="1" applyFill="1" applyBorder="1"/>
    <xf numFmtId="0" fontId="10" fillId="2" borderId="27" xfId="0" applyFont="1" applyFill="1" applyBorder="1" applyAlignment="1">
      <alignment shrinkToFit="1"/>
    </xf>
    <xf numFmtId="165" fontId="5" fillId="2" borderId="27" xfId="0" applyNumberFormat="1" applyFont="1" applyFill="1" applyBorder="1"/>
    <xf numFmtId="164" fontId="6" fillId="2" borderId="27" xfId="0" applyNumberFormat="1" applyFont="1" applyFill="1" applyBorder="1" applyAlignment="1">
      <alignment horizontal="center"/>
    </xf>
    <xf numFmtId="0" fontId="7" fillId="2" borderId="27" xfId="0" applyFont="1" applyFill="1" applyBorder="1"/>
    <xf numFmtId="0" fontId="11" fillId="2" borderId="1" xfId="0" applyFont="1" applyFill="1" applyBorder="1" applyAlignment="1">
      <alignment horizontal="right"/>
    </xf>
    <xf numFmtId="0" fontId="11" fillId="2" borderId="27" xfId="0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right"/>
    </xf>
    <xf numFmtId="3" fontId="5" fillId="2" borderId="27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14" fillId="0" borderId="27" xfId="0" applyFont="1" applyBorder="1"/>
    <xf numFmtId="0" fontId="5" fillId="2" borderId="1" xfId="0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/>
    <xf numFmtId="3" fontId="17" fillId="2" borderId="1" xfId="0" applyNumberFormat="1" applyFont="1" applyFill="1" applyBorder="1" applyAlignment="1">
      <alignment horizontal="right"/>
    </xf>
    <xf numFmtId="0" fontId="12" fillId="2" borderId="27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left"/>
    </xf>
    <xf numFmtId="1" fontId="5" fillId="2" borderId="27" xfId="0" applyNumberFormat="1" applyFont="1" applyFill="1" applyBorder="1" applyAlignment="1">
      <alignment horizontal="right"/>
    </xf>
    <xf numFmtId="3" fontId="5" fillId="2" borderId="27" xfId="0" applyNumberFormat="1" applyFont="1" applyFill="1" applyBorder="1"/>
    <xf numFmtId="165" fontId="5" fillId="6" borderId="27" xfId="0" applyNumberFormat="1" applyFont="1" applyFill="1" applyBorder="1"/>
    <xf numFmtId="0" fontId="7" fillId="2" borderId="46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center"/>
    </xf>
    <xf numFmtId="1" fontId="7" fillId="2" borderId="45" xfId="0" applyNumberFormat="1" applyFont="1" applyFill="1" applyBorder="1" applyAlignment="1">
      <alignment horizontal="center"/>
    </xf>
    <xf numFmtId="3" fontId="7" fillId="2" borderId="62" xfId="0" applyNumberFormat="1" applyFont="1" applyFill="1" applyBorder="1" applyAlignment="1">
      <alignment horizontal="center"/>
    </xf>
    <xf numFmtId="3" fontId="21" fillId="3" borderId="33" xfId="0" applyNumberFormat="1" applyFont="1" applyFill="1" applyBorder="1" applyAlignment="1">
      <alignment horizontal="center" wrapText="1"/>
    </xf>
    <xf numFmtId="165" fontId="7" fillId="2" borderId="56" xfId="0" applyNumberFormat="1" applyFont="1" applyFill="1" applyBorder="1" applyAlignment="1">
      <alignment horizontal="center"/>
    </xf>
    <xf numFmtId="165" fontId="7" fillId="0" borderId="52" xfId="0" applyNumberFormat="1" applyFont="1" applyBorder="1" applyAlignment="1">
      <alignment horizontal="center"/>
    </xf>
    <xf numFmtId="165" fontId="7" fillId="0" borderId="57" xfId="0" applyNumberFormat="1" applyFont="1" applyBorder="1" applyAlignment="1">
      <alignment horizontal="center"/>
    </xf>
    <xf numFmtId="165" fontId="7" fillId="0" borderId="58" xfId="0" applyNumberFormat="1" applyFont="1" applyBorder="1" applyAlignment="1">
      <alignment horizontal="center"/>
    </xf>
    <xf numFmtId="0" fontId="6" fillId="2" borderId="46" xfId="0" applyFont="1" applyFill="1" applyBorder="1" applyAlignment="1">
      <alignment horizontal="center" wrapText="1"/>
    </xf>
    <xf numFmtId="164" fontId="7" fillId="2" borderId="47" xfId="0" applyNumberFormat="1" applyFont="1" applyFill="1" applyBorder="1" applyAlignment="1">
      <alignment horizontal="center" wrapText="1"/>
    </xf>
    <xf numFmtId="164" fontId="5" fillId="2" borderId="49" xfId="0" applyNumberFormat="1" applyFont="1" applyFill="1" applyBorder="1" applyAlignment="1">
      <alignment horizontal="center" vertical="center"/>
    </xf>
    <xf numFmtId="164" fontId="5" fillId="3" borderId="38" xfId="0" applyNumberFormat="1" applyFont="1" applyFill="1" applyBorder="1" applyAlignment="1">
      <alignment horizontal="center" vertical="center"/>
    </xf>
    <xf numFmtId="1" fontId="12" fillId="2" borderId="38" xfId="0" applyNumberFormat="1" applyFont="1" applyFill="1" applyBorder="1" applyAlignment="1">
      <alignment horizontal="center" vertical="center"/>
    </xf>
    <xf numFmtId="164" fontId="12" fillId="2" borderId="38" xfId="0" applyNumberFormat="1" applyFont="1" applyFill="1" applyBorder="1" applyAlignment="1">
      <alignment horizontal="center" vertical="center"/>
    </xf>
    <xf numFmtId="1" fontId="5" fillId="6" borderId="27" xfId="0" applyNumberFormat="1" applyFont="1" applyFill="1" applyBorder="1"/>
    <xf numFmtId="164" fontId="5" fillId="6" borderId="27" xfId="0" applyNumberFormat="1" applyFont="1" applyFill="1" applyBorder="1" applyAlignment="1">
      <alignment horizontal="center"/>
    </xf>
    <xf numFmtId="164" fontId="5" fillId="8" borderId="27" xfId="0" applyNumberFormat="1" applyFont="1" applyFill="1" applyBorder="1" applyAlignment="1">
      <alignment horizontal="center"/>
    </xf>
    <xf numFmtId="1" fontId="12" fillId="5" borderId="27" xfId="0" applyNumberFormat="1" applyFont="1" applyFill="1" applyBorder="1" applyAlignment="1">
      <alignment horizontal="center"/>
    </xf>
    <xf numFmtId="1" fontId="12" fillId="7" borderId="27" xfId="0" applyNumberFormat="1" applyFont="1" applyFill="1" applyBorder="1" applyAlignment="1">
      <alignment horizontal="center"/>
    </xf>
    <xf numFmtId="44" fontId="13" fillId="2" borderId="30" xfId="1" applyFont="1" applyFill="1" applyBorder="1" applyAlignment="1">
      <alignment horizontal="center" vertical="center"/>
    </xf>
    <xf numFmtId="164" fontId="12" fillId="6" borderId="38" xfId="0" applyNumberFormat="1" applyFont="1" applyFill="1" applyBorder="1" applyAlignment="1">
      <alignment horizontal="center"/>
    </xf>
    <xf numFmtId="1" fontId="12" fillId="4" borderId="51" xfId="0" applyNumberFormat="1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/>
    </xf>
    <xf numFmtId="1" fontId="13" fillId="2" borderId="30" xfId="0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164" fontId="5" fillId="2" borderId="38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  <xf numFmtId="1" fontId="12" fillId="4" borderId="35" xfId="0" applyNumberFormat="1" applyFont="1" applyFill="1" applyBorder="1" applyAlignment="1">
      <alignment horizontal="center" vertical="center"/>
    </xf>
    <xf numFmtId="164" fontId="5" fillId="2" borderId="30" xfId="0" applyNumberFormat="1" applyFont="1" applyFill="1" applyBorder="1" applyAlignment="1">
      <alignment horizontal="center" vertical="center"/>
    </xf>
    <xf numFmtId="1" fontId="5" fillId="4" borderId="63" xfId="0" applyNumberFormat="1" applyFont="1" applyFill="1" applyBorder="1" applyAlignment="1">
      <alignment horizontal="center" vertical="center"/>
    </xf>
    <xf numFmtId="1" fontId="12" fillId="4" borderId="63" xfId="0" applyNumberFormat="1" applyFont="1" applyFill="1" applyBorder="1" applyAlignment="1">
      <alignment horizontal="center" vertical="center"/>
    </xf>
    <xf numFmtId="1" fontId="12" fillId="4" borderId="64" xfId="0" applyNumberFormat="1" applyFont="1" applyFill="1" applyBorder="1" applyAlignment="1">
      <alignment horizontal="center" vertical="center"/>
    </xf>
    <xf numFmtId="164" fontId="5" fillId="2" borderId="39" xfId="0" applyNumberFormat="1" applyFont="1" applyFill="1" applyBorder="1" applyAlignment="1">
      <alignment horizontal="center" vertical="center"/>
    </xf>
    <xf numFmtId="164" fontId="5" fillId="3" borderId="39" xfId="0" applyNumberFormat="1" applyFont="1" applyFill="1" applyBorder="1" applyAlignment="1">
      <alignment horizontal="center" vertical="center"/>
    </xf>
    <xf numFmtId="1" fontId="5" fillId="4" borderId="36" xfId="0" applyNumberFormat="1" applyFont="1" applyFill="1" applyBorder="1" applyAlignment="1">
      <alignment horizontal="center" vertical="center"/>
    </xf>
    <xf numFmtId="1" fontId="12" fillId="4" borderId="36" xfId="0" applyNumberFormat="1" applyFont="1" applyFill="1" applyBorder="1" applyAlignment="1">
      <alignment horizontal="center" vertical="center"/>
    </xf>
    <xf numFmtId="44" fontId="13" fillId="2" borderId="61" xfId="1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1" fontId="5" fillId="2" borderId="52" xfId="0" applyNumberFormat="1" applyFont="1" applyFill="1" applyBorder="1" applyAlignment="1">
      <alignment horizontal="center" vertical="center" wrapText="1"/>
    </xf>
    <xf numFmtId="164" fontId="5" fillId="2" borderId="52" xfId="0" applyNumberFormat="1" applyFont="1" applyFill="1" applyBorder="1" applyAlignment="1">
      <alignment horizontal="center" vertical="center"/>
    </xf>
    <xf numFmtId="164" fontId="5" fillId="3" borderId="52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21" fillId="2" borderId="27" xfId="0" applyFont="1" applyFill="1" applyBorder="1" applyAlignment="1">
      <alignment horizontal="right" vertical="center"/>
    </xf>
    <xf numFmtId="0" fontId="8" fillId="0" borderId="0" xfId="0" applyFont="1" applyAlignment="1">
      <alignment horizontal="center"/>
    </xf>
    <xf numFmtId="1" fontId="8" fillId="0" borderId="0" xfId="0" applyNumberFormat="1" applyFont="1"/>
    <xf numFmtId="0" fontId="29" fillId="0" borderId="0" xfId="0" applyFont="1"/>
    <xf numFmtId="0" fontId="17" fillId="6" borderId="38" xfId="0" applyFont="1" applyFill="1" applyBorder="1"/>
    <xf numFmtId="0" fontId="17" fillId="2" borderId="38" xfId="0" applyFont="1" applyFill="1" applyBorder="1" applyAlignment="1">
      <alignment vertical="center"/>
    </xf>
    <xf numFmtId="0" fontId="17" fillId="2" borderId="52" xfId="0" applyFont="1" applyFill="1" applyBorder="1" applyAlignment="1">
      <alignment horizontal="center" vertical="center" wrapText="1"/>
    </xf>
    <xf numFmtId="0" fontId="7" fillId="11" borderId="52" xfId="0" applyFont="1" applyFill="1" applyBorder="1" applyAlignment="1">
      <alignment horizontal="center" vertical="center" wrapText="1"/>
    </xf>
    <xf numFmtId="0" fontId="7" fillId="11" borderId="39" xfId="0" applyFont="1" applyFill="1" applyBorder="1" applyAlignment="1">
      <alignment horizontal="center" vertical="center" wrapText="1"/>
    </xf>
    <xf numFmtId="1" fontId="16" fillId="0" borderId="29" xfId="0" applyNumberFormat="1" applyFont="1" applyBorder="1" applyAlignment="1">
      <alignment horizontal="center" vertical="center"/>
    </xf>
    <xf numFmtId="1" fontId="5" fillId="2" borderId="38" xfId="0" applyNumberFormat="1" applyFont="1" applyFill="1" applyBorder="1" applyAlignment="1">
      <alignment horizontal="center" vertical="center"/>
    </xf>
    <xf numFmtId="1" fontId="5" fillId="2" borderId="52" xfId="0" applyNumberFormat="1" applyFont="1" applyFill="1" applyBorder="1" applyAlignment="1">
      <alignment horizontal="center" vertical="center"/>
    </xf>
    <xf numFmtId="0" fontId="17" fillId="6" borderId="52" xfId="0" applyFont="1" applyFill="1" applyBorder="1"/>
    <xf numFmtId="1" fontId="16" fillId="0" borderId="52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7" fillId="2" borderId="52" xfId="0" applyFont="1" applyFill="1" applyBorder="1" applyAlignment="1">
      <alignment vertical="center"/>
    </xf>
    <xf numFmtId="0" fontId="5" fillId="2" borderId="52" xfId="0" applyFont="1" applyFill="1" applyBorder="1" applyAlignment="1">
      <alignment horizontal="center" vertical="center"/>
    </xf>
    <xf numFmtId="164" fontId="5" fillId="3" borderId="31" xfId="0" applyNumberFormat="1" applyFont="1" applyFill="1" applyBorder="1" applyAlignment="1">
      <alignment horizontal="center" vertical="center"/>
    </xf>
    <xf numFmtId="164" fontId="5" fillId="3" borderId="41" xfId="0" applyNumberFormat="1" applyFont="1" applyFill="1" applyBorder="1" applyAlignment="1">
      <alignment horizontal="center" vertical="center"/>
    </xf>
    <xf numFmtId="164" fontId="5" fillId="2" borderId="54" xfId="0" applyNumberFormat="1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vertical="center"/>
    </xf>
    <xf numFmtId="0" fontId="17" fillId="6" borderId="52" xfId="0" applyFont="1" applyFill="1" applyBorder="1" applyAlignment="1">
      <alignment vertical="center"/>
    </xf>
    <xf numFmtId="1" fontId="22" fillId="0" borderId="52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3" fontId="7" fillId="2" borderId="1" xfId="0" applyNumberFormat="1" applyFont="1" applyFill="1" applyBorder="1" applyAlignment="1">
      <alignment horizontal="right"/>
    </xf>
    <xf numFmtId="3" fontId="7" fillId="2" borderId="1" xfId="0" applyNumberFormat="1" applyFont="1" applyFill="1" applyBorder="1"/>
    <xf numFmtId="3" fontId="30" fillId="10" borderId="1" xfId="0" applyNumberFormat="1" applyFont="1" applyFill="1" applyBorder="1" applyAlignment="1">
      <alignment horizontal="left"/>
    </xf>
    <xf numFmtId="3" fontId="30" fillId="10" borderId="1" xfId="0" applyNumberFormat="1" applyFont="1" applyFill="1" applyBorder="1"/>
    <xf numFmtId="1" fontId="7" fillId="2" borderId="1" xfId="0" applyNumberFormat="1" applyFont="1" applyFill="1" applyBorder="1" applyAlignment="1">
      <alignment horizontal="right"/>
    </xf>
    <xf numFmtId="0" fontId="7" fillId="2" borderId="27" xfId="0" applyFont="1" applyFill="1" applyBorder="1" applyAlignment="1">
      <alignment horizontal="left" vertical="center"/>
    </xf>
    <xf numFmtId="1" fontId="12" fillId="6" borderId="38" xfId="0" applyNumberFormat="1" applyFont="1" applyFill="1" applyBorder="1" applyAlignment="1">
      <alignment horizontal="center" vertical="center"/>
    </xf>
    <xf numFmtId="1" fontId="12" fillId="7" borderId="37" xfId="0" applyNumberFormat="1" applyFont="1" applyFill="1" applyBorder="1" applyAlignment="1">
      <alignment horizontal="center" vertical="center"/>
    </xf>
    <xf numFmtId="1" fontId="13" fillId="6" borderId="29" xfId="0" applyNumberFormat="1" applyFont="1" applyFill="1" applyBorder="1" applyAlignment="1">
      <alignment horizontal="center" vertical="center"/>
    </xf>
    <xf numFmtId="164" fontId="13" fillId="6" borderId="52" xfId="0" applyNumberFormat="1" applyFont="1" applyFill="1" applyBorder="1" applyAlignment="1">
      <alignment horizontal="center" vertical="center"/>
    </xf>
    <xf numFmtId="164" fontId="12" fillId="6" borderId="52" xfId="0" applyNumberFormat="1" applyFont="1" applyFill="1" applyBorder="1" applyAlignment="1">
      <alignment horizontal="center" vertical="center"/>
    </xf>
    <xf numFmtId="164" fontId="5" fillId="3" borderId="66" xfId="0" applyNumberFormat="1" applyFont="1" applyFill="1" applyBorder="1" applyAlignment="1">
      <alignment horizontal="center" vertical="center"/>
    </xf>
    <xf numFmtId="1" fontId="12" fillId="4" borderId="68" xfId="0" applyNumberFormat="1" applyFont="1" applyFill="1" applyBorder="1" applyAlignment="1">
      <alignment horizontal="center" vertical="center"/>
    </xf>
    <xf numFmtId="1" fontId="12" fillId="4" borderId="40" xfId="0" applyNumberFormat="1" applyFont="1" applyFill="1" applyBorder="1" applyAlignment="1">
      <alignment horizontal="center" vertical="center"/>
    </xf>
    <xf numFmtId="1" fontId="12" fillId="4" borderId="37" xfId="0" applyNumberFormat="1" applyFont="1" applyFill="1" applyBorder="1" applyAlignment="1">
      <alignment horizontal="center" vertical="center"/>
    </xf>
    <xf numFmtId="1" fontId="12" fillId="4" borderId="69" xfId="0" applyNumberFormat="1" applyFont="1" applyFill="1" applyBorder="1" applyAlignment="1">
      <alignment horizontal="center" vertical="center"/>
    </xf>
    <xf numFmtId="1" fontId="12" fillId="4" borderId="32" xfId="0" applyNumberFormat="1" applyFont="1" applyFill="1" applyBorder="1" applyAlignment="1">
      <alignment horizontal="center" vertical="center"/>
    </xf>
    <xf numFmtId="1" fontId="12" fillId="4" borderId="70" xfId="0" applyNumberFormat="1" applyFont="1" applyFill="1" applyBorder="1" applyAlignment="1">
      <alignment horizontal="center" vertical="center"/>
    </xf>
    <xf numFmtId="1" fontId="12" fillId="4" borderId="71" xfId="0" applyNumberFormat="1" applyFont="1" applyFill="1" applyBorder="1" applyAlignment="1">
      <alignment horizontal="center" vertical="center"/>
    </xf>
    <xf numFmtId="1" fontId="12" fillId="7" borderId="64" xfId="0" applyNumberFormat="1" applyFont="1" applyFill="1" applyBorder="1" applyAlignment="1">
      <alignment horizontal="center" vertical="center"/>
    </xf>
    <xf numFmtId="1" fontId="12" fillId="6" borderId="54" xfId="0" applyNumberFormat="1" applyFont="1" applyFill="1" applyBorder="1" applyAlignment="1">
      <alignment horizontal="center" vertical="center"/>
    </xf>
    <xf numFmtId="1" fontId="12" fillId="2" borderId="54" xfId="0" applyNumberFormat="1" applyFont="1" applyFill="1" applyBorder="1" applyAlignment="1">
      <alignment horizontal="center" vertical="center"/>
    </xf>
    <xf numFmtId="1" fontId="12" fillId="4" borderId="67" xfId="0" applyNumberFormat="1" applyFont="1" applyFill="1" applyBorder="1" applyAlignment="1">
      <alignment horizontal="center" vertical="center"/>
    </xf>
    <xf numFmtId="1" fontId="12" fillId="7" borderId="52" xfId="0" applyNumberFormat="1" applyFont="1" applyFill="1" applyBorder="1" applyAlignment="1">
      <alignment horizontal="center" vertical="center"/>
    </xf>
    <xf numFmtId="1" fontId="12" fillId="4" borderId="72" xfId="0" applyNumberFormat="1" applyFont="1" applyFill="1" applyBorder="1" applyAlignment="1">
      <alignment horizontal="center" vertical="center"/>
    </xf>
    <xf numFmtId="1" fontId="12" fillId="4" borderId="73" xfId="0" applyNumberFormat="1" applyFont="1" applyFill="1" applyBorder="1" applyAlignment="1">
      <alignment horizontal="center" vertical="center"/>
    </xf>
    <xf numFmtId="1" fontId="12" fillId="4" borderId="74" xfId="0" applyNumberFormat="1" applyFont="1" applyFill="1" applyBorder="1" applyAlignment="1">
      <alignment horizontal="center" vertical="center"/>
    </xf>
    <xf numFmtId="1" fontId="12" fillId="4" borderId="59" xfId="0" applyNumberFormat="1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center" vertical="center" wrapText="1"/>
    </xf>
    <xf numFmtId="165" fontId="7" fillId="9" borderId="52" xfId="0" applyNumberFormat="1" applyFont="1" applyFill="1" applyBorder="1" applyAlignment="1">
      <alignment horizontal="center" vertical="center"/>
    </xf>
    <xf numFmtId="1" fontId="12" fillId="7" borderId="52" xfId="0" applyNumberFormat="1" applyFont="1" applyFill="1" applyBorder="1" applyAlignment="1" applyProtection="1">
      <alignment horizontal="center" vertical="center"/>
      <protection locked="0"/>
    </xf>
    <xf numFmtId="1" fontId="12" fillId="7" borderId="35" xfId="0" applyNumberFormat="1" applyFont="1" applyFill="1" applyBorder="1" applyAlignment="1" applyProtection="1">
      <alignment horizontal="center" vertical="center"/>
      <protection locked="0"/>
    </xf>
    <xf numFmtId="1" fontId="12" fillId="7" borderId="67" xfId="0" applyNumberFormat="1" applyFont="1" applyFill="1" applyBorder="1" applyAlignment="1">
      <alignment horizontal="center" vertical="center"/>
    </xf>
    <xf numFmtId="1" fontId="5" fillId="4" borderId="68" xfId="0" applyNumberFormat="1" applyFont="1" applyFill="1" applyBorder="1" applyAlignment="1">
      <alignment horizontal="center" vertical="center"/>
    </xf>
    <xf numFmtId="1" fontId="12" fillId="4" borderId="65" xfId="0" applyNumberFormat="1" applyFont="1" applyFill="1" applyBorder="1" applyAlignment="1">
      <alignment horizontal="center" vertical="center"/>
    </xf>
    <xf numFmtId="1" fontId="12" fillId="7" borderId="75" xfId="0" applyNumberFormat="1" applyFont="1" applyFill="1" applyBorder="1" applyAlignment="1">
      <alignment horizontal="center" vertical="center"/>
    </xf>
    <xf numFmtId="1" fontId="12" fillId="4" borderId="76" xfId="0" applyNumberFormat="1" applyFont="1" applyFill="1" applyBorder="1" applyAlignment="1">
      <alignment horizontal="center" vertical="center"/>
    </xf>
    <xf numFmtId="1" fontId="12" fillId="5" borderId="38" xfId="0" applyNumberFormat="1" applyFont="1" applyFill="1" applyBorder="1" applyAlignment="1">
      <alignment horizontal="center" vertical="center"/>
    </xf>
    <xf numFmtId="1" fontId="12" fillId="4" borderId="53" xfId="0" applyNumberFormat="1" applyFont="1" applyFill="1" applyBorder="1" applyAlignment="1">
      <alignment horizontal="center" vertical="center"/>
    </xf>
    <xf numFmtId="1" fontId="12" fillId="4" borderId="66" xfId="0" applyNumberFormat="1" applyFont="1" applyFill="1" applyBorder="1" applyAlignment="1">
      <alignment horizontal="center" vertical="center"/>
    </xf>
    <xf numFmtId="1" fontId="12" fillId="7" borderId="65" xfId="0" applyNumberFormat="1" applyFont="1" applyFill="1" applyBorder="1" applyAlignment="1" applyProtection="1">
      <alignment horizontal="center" vertical="center"/>
      <protection locked="0"/>
    </xf>
    <xf numFmtId="164" fontId="12" fillId="2" borderId="52" xfId="0" applyNumberFormat="1" applyFont="1" applyFill="1" applyBorder="1" applyAlignment="1">
      <alignment horizontal="center" vertical="center"/>
    </xf>
    <xf numFmtId="1" fontId="12" fillId="6" borderId="52" xfId="0" applyNumberFormat="1" applyFont="1" applyFill="1" applyBorder="1" applyAlignment="1">
      <alignment horizontal="center" vertical="center"/>
    </xf>
    <xf numFmtId="164" fontId="12" fillId="2" borderId="50" xfId="0" applyNumberFormat="1" applyFont="1" applyFill="1" applyBorder="1" applyAlignment="1">
      <alignment horizontal="center" vertical="center"/>
    </xf>
    <xf numFmtId="0" fontId="7" fillId="6" borderId="53" xfId="0" applyFont="1" applyFill="1" applyBorder="1"/>
    <xf numFmtId="0" fontId="7" fillId="6" borderId="60" xfId="0" applyFont="1" applyFill="1" applyBorder="1"/>
    <xf numFmtId="0" fontId="7" fillId="6" borderId="43" xfId="0" applyFont="1" applyFill="1" applyBorder="1"/>
    <xf numFmtId="1" fontId="5" fillId="2" borderId="13" xfId="0" applyNumberFormat="1" applyFont="1" applyFill="1" applyBorder="1" applyAlignment="1">
      <alignment horizontal="center" vertical="center"/>
    </xf>
    <xf numFmtId="44" fontId="5" fillId="2" borderId="13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44" fontId="5" fillId="2" borderId="11" xfId="0" applyNumberFormat="1" applyFont="1" applyFill="1" applyBorder="1" applyAlignment="1">
      <alignment horizontal="center" vertical="center"/>
    </xf>
    <xf numFmtId="1" fontId="5" fillId="2" borderId="28" xfId="0" applyNumberFormat="1" applyFont="1" applyFill="1" applyBorder="1" applyAlignment="1">
      <alignment horizontal="center" vertical="center"/>
    </xf>
    <xf numFmtId="44" fontId="5" fillId="2" borderId="28" xfId="0" applyNumberFormat="1" applyFont="1" applyFill="1" applyBorder="1" applyAlignment="1">
      <alignment horizontal="center" vertical="center"/>
    </xf>
    <xf numFmtId="1" fontId="7" fillId="2" borderId="52" xfId="0" applyNumberFormat="1" applyFont="1" applyFill="1" applyBorder="1" applyAlignment="1">
      <alignment horizontal="center" vertical="center"/>
    </xf>
    <xf numFmtId="44" fontId="7" fillId="2" borderId="52" xfId="0" applyNumberFormat="1" applyFont="1" applyFill="1" applyBorder="1" applyAlignment="1">
      <alignment horizontal="center" vertical="center"/>
    </xf>
    <xf numFmtId="1" fontId="32" fillId="2" borderId="13" xfId="0" applyNumberFormat="1" applyFont="1" applyFill="1" applyBorder="1" applyAlignment="1" applyProtection="1">
      <alignment horizontal="center" vertical="center"/>
      <protection locked="0"/>
    </xf>
    <xf numFmtId="44" fontId="32" fillId="2" borderId="13" xfId="1" applyFont="1" applyFill="1" applyBorder="1" applyAlignment="1" applyProtection="1">
      <alignment horizontal="center" vertical="center"/>
      <protection locked="0"/>
    </xf>
    <xf numFmtId="9" fontId="32" fillId="2" borderId="13" xfId="0" applyNumberFormat="1" applyFont="1" applyFill="1" applyBorder="1" applyAlignment="1" applyProtection="1">
      <alignment horizontal="center" vertical="center"/>
      <protection locked="0"/>
    </xf>
    <xf numFmtId="44" fontId="32" fillId="2" borderId="13" xfId="0" applyNumberFormat="1" applyFont="1" applyFill="1" applyBorder="1" applyAlignment="1">
      <alignment vertical="center"/>
    </xf>
    <xf numFmtId="0" fontId="13" fillId="6" borderId="53" xfId="0" applyFont="1" applyFill="1" applyBorder="1" applyAlignment="1">
      <alignment vertical="center"/>
    </xf>
    <xf numFmtId="166" fontId="12" fillId="2" borderId="10" xfId="0" applyNumberFormat="1" applyFont="1" applyFill="1" applyBorder="1" applyAlignment="1" applyProtection="1">
      <alignment horizontal="center"/>
      <protection locked="0"/>
    </xf>
    <xf numFmtId="0" fontId="7" fillId="11" borderId="33" xfId="0" applyFont="1" applyFill="1" applyBorder="1" applyAlignment="1">
      <alignment horizontal="center" vertical="center" wrapText="1"/>
    </xf>
    <xf numFmtId="0" fontId="7" fillId="11" borderId="42" xfId="0" applyFont="1" applyFill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/>
    </xf>
    <xf numFmtId="0" fontId="9" fillId="0" borderId="3" xfId="0" applyFont="1" applyBorder="1"/>
    <xf numFmtId="0" fontId="12" fillId="2" borderId="12" xfId="0" applyFont="1" applyFill="1" applyBorder="1" applyAlignment="1" applyProtection="1">
      <alignment horizontal="center"/>
      <protection locked="0"/>
    </xf>
    <xf numFmtId="1" fontId="24" fillId="7" borderId="34" xfId="0" applyNumberFormat="1" applyFont="1" applyFill="1" applyBorder="1" applyAlignment="1">
      <alignment horizontal="center" vertical="center"/>
    </xf>
    <xf numFmtId="1" fontId="24" fillId="7" borderId="61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/>
      <protection locked="0"/>
    </xf>
    <xf numFmtId="14" fontId="11" fillId="2" borderId="6" xfId="0" applyNumberFormat="1" applyFont="1" applyFill="1" applyBorder="1" applyAlignment="1" applyProtection="1">
      <alignment horizontal="center"/>
      <protection locked="0"/>
    </xf>
    <xf numFmtId="0" fontId="11" fillId="2" borderId="6" xfId="0" applyFont="1" applyFill="1" applyBorder="1" applyAlignment="1" applyProtection="1">
      <alignment horizontal="center"/>
      <protection locked="0"/>
    </xf>
    <xf numFmtId="0" fontId="11" fillId="2" borderId="10" xfId="0" applyFont="1" applyFill="1" applyBorder="1" applyAlignment="1" applyProtection="1">
      <alignment horizontal="center"/>
      <protection locked="0"/>
    </xf>
    <xf numFmtId="1" fontId="24" fillId="7" borderId="33" xfId="0" applyNumberFormat="1" applyFont="1" applyFill="1" applyBorder="1" applyAlignment="1">
      <alignment horizontal="center" vertical="center"/>
    </xf>
    <xf numFmtId="1" fontId="24" fillId="7" borderId="44" xfId="0" applyNumberFormat="1" applyFont="1" applyFill="1" applyBorder="1" applyAlignment="1">
      <alignment horizontal="center" vertical="center"/>
    </xf>
    <xf numFmtId="0" fontId="6" fillId="2" borderId="34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0" fontId="7" fillId="11" borderId="33" xfId="0" applyFont="1" applyFill="1" applyBorder="1" applyAlignment="1" applyProtection="1">
      <alignment horizontal="center" vertical="center"/>
      <protection locked="0"/>
    </xf>
    <xf numFmtId="0" fontId="7" fillId="11" borderId="60" xfId="0" applyFont="1" applyFill="1" applyBorder="1" applyAlignment="1" applyProtection="1">
      <alignment horizontal="center" vertical="center"/>
      <protection locked="0"/>
    </xf>
    <xf numFmtId="0" fontId="5" fillId="11" borderId="44" xfId="0" applyFont="1" applyFill="1" applyBorder="1" applyAlignment="1" applyProtection="1">
      <alignment horizontal="center" vertical="center"/>
      <protection locked="0"/>
    </xf>
    <xf numFmtId="3" fontId="13" fillId="2" borderId="6" xfId="0" applyNumberFormat="1" applyFont="1" applyFill="1" applyBorder="1" applyAlignment="1" applyProtection="1">
      <alignment horizontal="center"/>
      <protection locked="0"/>
    </xf>
    <xf numFmtId="3" fontId="13" fillId="2" borderId="10" xfId="0" applyNumberFormat="1" applyFont="1" applyFill="1" applyBorder="1" applyAlignment="1" applyProtection="1">
      <alignment horizontal="center"/>
      <protection locked="0"/>
    </xf>
    <xf numFmtId="0" fontId="13" fillId="2" borderId="27" xfId="0" applyFont="1" applyFill="1" applyBorder="1" applyAlignment="1" applyProtection="1">
      <alignment horizontal="center"/>
      <protection locked="0"/>
    </xf>
    <xf numFmtId="0" fontId="13" fillId="2" borderId="10" xfId="0" applyFont="1" applyFill="1" applyBorder="1" applyAlignment="1" applyProtection="1">
      <alignment horizontal="center"/>
      <protection locked="0"/>
    </xf>
    <xf numFmtId="0" fontId="12" fillId="2" borderId="27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Alignment="1" applyProtection="1">
      <alignment horizontal="center"/>
      <protection locked="0"/>
    </xf>
    <xf numFmtId="0" fontId="33" fillId="2" borderId="6" xfId="2" applyFont="1" applyFill="1" applyBorder="1" applyAlignment="1" applyProtection="1">
      <alignment horizontal="center"/>
      <protection locked="0"/>
    </xf>
    <xf numFmtId="0" fontId="32" fillId="2" borderId="6" xfId="0" applyFont="1" applyFill="1" applyBorder="1" applyAlignment="1" applyProtection="1">
      <alignment horizontal="center"/>
      <protection locked="0"/>
    </xf>
    <xf numFmtId="0" fontId="32" fillId="2" borderId="10" xfId="0" applyFont="1" applyFill="1" applyBorder="1" applyAlignment="1" applyProtection="1">
      <alignment horizontal="center"/>
      <protection locked="0"/>
    </xf>
    <xf numFmtId="0" fontId="7" fillId="11" borderId="38" xfId="0" applyFont="1" applyFill="1" applyBorder="1" applyAlignment="1">
      <alignment horizontal="center" vertical="center" wrapText="1"/>
    </xf>
    <xf numFmtId="0" fontId="7" fillId="11" borderId="39" xfId="0" applyFont="1" applyFill="1" applyBorder="1" applyAlignment="1">
      <alignment horizontal="center" vertical="center" wrapText="1"/>
    </xf>
    <xf numFmtId="0" fontId="7" fillId="9" borderId="33" xfId="0" applyFont="1" applyFill="1" applyBorder="1" applyAlignment="1" applyProtection="1">
      <alignment horizontal="center" vertical="center"/>
      <protection locked="0"/>
    </xf>
    <xf numFmtId="0" fontId="7" fillId="9" borderId="60" xfId="0" applyFont="1" applyFill="1" applyBorder="1" applyAlignment="1" applyProtection="1">
      <alignment horizontal="center" vertical="center"/>
      <protection locked="0"/>
    </xf>
    <xf numFmtId="0" fontId="7" fillId="9" borderId="44" xfId="0" applyFont="1" applyFill="1" applyBorder="1" applyAlignment="1" applyProtection="1">
      <alignment horizontal="center" vertical="center"/>
      <protection locked="0"/>
    </xf>
    <xf numFmtId="1" fontId="24" fillId="7" borderId="56" xfId="0" applyNumberFormat="1" applyFont="1" applyFill="1" applyBorder="1" applyAlignment="1">
      <alignment horizontal="center" vertical="center"/>
    </xf>
    <xf numFmtId="1" fontId="24" fillId="7" borderId="54" xfId="0" applyNumberFormat="1" applyFont="1" applyFill="1" applyBorder="1" applyAlignment="1">
      <alignment horizontal="center" vertical="center"/>
    </xf>
    <xf numFmtId="0" fontId="13" fillId="6" borderId="53" xfId="0" applyFont="1" applyFill="1" applyBorder="1" applyAlignment="1">
      <alignment horizontal="left" vertical="center"/>
    </xf>
    <xf numFmtId="14" fontId="13" fillId="2" borderId="27" xfId="0" applyNumberFormat="1" applyFont="1" applyFill="1" applyBorder="1" applyAlignment="1" applyProtection="1">
      <alignment horizontal="center"/>
      <protection locked="0"/>
    </xf>
    <xf numFmtId="14" fontId="13" fillId="2" borderId="10" xfId="0" applyNumberFormat="1" applyFont="1" applyFill="1" applyBorder="1" applyAlignment="1" applyProtection="1">
      <alignment horizontal="center"/>
      <protection locked="0"/>
    </xf>
    <xf numFmtId="165" fontId="12" fillId="2" borderId="6" xfId="0" applyNumberFormat="1" applyFont="1" applyFill="1" applyBorder="1" applyAlignment="1" applyProtection="1">
      <alignment horizontal="center"/>
      <protection locked="0"/>
    </xf>
    <xf numFmtId="165" fontId="12" fillId="2" borderId="10" xfId="0" applyNumberFormat="1" applyFont="1" applyFill="1" applyBorder="1" applyAlignment="1" applyProtection="1">
      <alignment horizontal="center"/>
      <protection locked="0"/>
    </xf>
    <xf numFmtId="0" fontId="19" fillId="2" borderId="27" xfId="0" applyFont="1" applyFill="1" applyBorder="1" applyAlignment="1" applyProtection="1">
      <alignment horizontal="center"/>
      <protection locked="0"/>
    </xf>
    <xf numFmtId="0" fontId="19" fillId="2" borderId="48" xfId="0" applyFont="1" applyFill="1" applyBorder="1" applyAlignment="1" applyProtection="1">
      <alignment horizontal="center"/>
      <protection locked="0"/>
    </xf>
    <xf numFmtId="0" fontId="5" fillId="2" borderId="55" xfId="0" applyFont="1" applyFill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center"/>
      <protection locked="0"/>
    </xf>
    <xf numFmtId="3" fontId="20" fillId="2" borderId="27" xfId="0" applyNumberFormat="1" applyFont="1" applyFill="1" applyBorder="1" applyAlignment="1" applyProtection="1">
      <alignment horizontal="center"/>
      <protection locked="0"/>
    </xf>
    <xf numFmtId="3" fontId="20" fillId="2" borderId="48" xfId="0" applyNumberFormat="1" applyFont="1" applyFill="1" applyBorder="1" applyAlignment="1" applyProtection="1">
      <alignment horizontal="center"/>
      <protection locked="0"/>
    </xf>
    <xf numFmtId="0" fontId="7" fillId="6" borderId="56" xfId="0" applyFont="1" applyFill="1" applyBorder="1" applyAlignment="1">
      <alignment horizontal="left" vertical="center"/>
    </xf>
    <xf numFmtId="0" fontId="7" fillId="6" borderId="53" xfId="0" applyFont="1" applyFill="1" applyBorder="1" applyAlignment="1">
      <alignment horizontal="left" vertical="center"/>
    </xf>
    <xf numFmtId="0" fontId="28" fillId="6" borderId="34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1" fontId="23" fillId="7" borderId="27" xfId="0" applyNumberFormat="1" applyFont="1" applyFill="1" applyBorder="1" applyAlignment="1">
      <alignment horizontal="right" vertical="center"/>
    </xf>
    <xf numFmtId="0" fontId="12" fillId="2" borderId="6" xfId="0" applyFont="1" applyFill="1" applyBorder="1" applyAlignment="1" applyProtection="1">
      <alignment horizontal="center"/>
      <protection locked="0"/>
    </xf>
    <xf numFmtId="3" fontId="12" fillId="2" borderId="12" xfId="0" applyNumberFormat="1" applyFont="1" applyFill="1" applyBorder="1" applyAlignment="1" applyProtection="1">
      <alignment horizontal="center"/>
      <protection locked="0"/>
    </xf>
    <xf numFmtId="0" fontId="6" fillId="6" borderId="27" xfId="0" applyFont="1" applyFill="1" applyBorder="1" applyAlignment="1">
      <alignment horizontal="left" vertical="center"/>
    </xf>
    <xf numFmtId="44" fontId="24" fillId="2" borderId="11" xfId="0" applyNumberFormat="1" applyFont="1" applyFill="1" applyBorder="1" applyAlignment="1">
      <alignment horizontal="center" vertical="center"/>
    </xf>
    <xf numFmtId="0" fontId="23" fillId="0" borderId="28" xfId="0" applyFont="1" applyBorder="1" applyAlignment="1">
      <alignment vertical="center"/>
    </xf>
    <xf numFmtId="0" fontId="5" fillId="12" borderId="60" xfId="0" applyFont="1" applyFill="1" applyBorder="1" applyAlignment="1">
      <alignment horizontal="left" vertical="center" wrapText="1"/>
    </xf>
    <xf numFmtId="0" fontId="25" fillId="2" borderId="14" xfId="0" applyFont="1" applyFill="1" applyBorder="1" applyAlignment="1">
      <alignment horizontal="left" vertical="top" wrapText="1"/>
    </xf>
    <xf numFmtId="0" fontId="23" fillId="0" borderId="15" xfId="0" applyFont="1" applyBorder="1"/>
    <xf numFmtId="0" fontId="23" fillId="0" borderId="16" xfId="0" applyFont="1" applyBorder="1"/>
    <xf numFmtId="0" fontId="25" fillId="2" borderId="25" xfId="0" applyFont="1" applyFill="1" applyBorder="1" applyAlignment="1">
      <alignment horizontal="left" vertical="top" wrapText="1"/>
    </xf>
    <xf numFmtId="0" fontId="23" fillId="0" borderId="27" xfId="0" applyFont="1" applyBorder="1"/>
    <xf numFmtId="0" fontId="23" fillId="0" borderId="19" xfId="0" applyFont="1" applyBorder="1"/>
    <xf numFmtId="0" fontId="23" fillId="0" borderId="18" xfId="0" applyFont="1" applyBorder="1"/>
    <xf numFmtId="0" fontId="27" fillId="0" borderId="0" xfId="0" applyFont="1"/>
    <xf numFmtId="0" fontId="23" fillId="0" borderId="22" xfId="0" applyFont="1" applyBorder="1"/>
    <xf numFmtId="0" fontId="23" fillId="0" borderId="23" xfId="0" applyFont="1" applyBorder="1"/>
    <xf numFmtId="0" fontId="23" fillId="0" borderId="24" xfId="0" applyFont="1" applyBorder="1"/>
    <xf numFmtId="0" fontId="13" fillId="2" borderId="2" xfId="0" applyFont="1" applyFill="1" applyBorder="1" applyAlignment="1">
      <alignment horizontal="right" vertical="center"/>
    </xf>
    <xf numFmtId="0" fontId="13" fillId="2" borderId="27" xfId="0" applyFont="1" applyFill="1" applyBorder="1" applyAlignment="1">
      <alignment horizontal="right" vertical="center"/>
    </xf>
    <xf numFmtId="0" fontId="12" fillId="0" borderId="17" xfId="0" applyFont="1" applyBorder="1" applyAlignment="1">
      <alignment vertical="center"/>
    </xf>
    <xf numFmtId="0" fontId="26" fillId="2" borderId="25" xfId="0" applyFont="1" applyFill="1" applyBorder="1" applyAlignment="1">
      <alignment horizontal="right" vertical="center"/>
    </xf>
    <xf numFmtId="0" fontId="26" fillId="2" borderId="27" xfId="0" applyFont="1" applyFill="1" applyBorder="1" applyAlignment="1">
      <alignment horizontal="right" vertical="center"/>
    </xf>
    <xf numFmtId="0" fontId="26" fillId="2" borderId="19" xfId="0" applyFont="1" applyFill="1" applyBorder="1" applyAlignment="1">
      <alignment horizontal="right" vertical="center"/>
    </xf>
    <xf numFmtId="0" fontId="28" fillId="2" borderId="20" xfId="0" applyFont="1" applyFill="1" applyBorder="1" applyAlignment="1">
      <alignment horizontal="right" vertical="center"/>
    </xf>
    <xf numFmtId="0" fontId="14" fillId="0" borderId="21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26" fillId="2" borderId="27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12" fillId="0" borderId="27" xfId="0" applyFont="1" applyBorder="1" applyAlignment="1">
      <alignment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19" xfId="0" applyFont="1" applyFill="1" applyBorder="1" applyAlignment="1">
      <alignment horizontal="right" vertical="center"/>
    </xf>
    <xf numFmtId="3" fontId="15" fillId="2" borderId="12" xfId="2" applyNumberFormat="1" applyFont="1" applyFill="1" applyBorder="1" applyAlignment="1" applyProtection="1">
      <alignment horizontal="center"/>
      <protection locked="0"/>
    </xf>
    <xf numFmtId="3" fontId="18" fillId="2" borderId="12" xfId="0" applyNumberFormat="1" applyFont="1" applyFill="1" applyBorder="1" applyAlignment="1" applyProtection="1">
      <alignment horizontal="center"/>
      <protection locked="0"/>
    </xf>
    <xf numFmtId="1" fontId="5" fillId="6" borderId="53" xfId="0" applyNumberFormat="1" applyFont="1" applyFill="1" applyBorder="1" applyAlignment="1">
      <alignment horizontal="center"/>
    </xf>
    <xf numFmtId="1" fontId="5" fillId="6" borderId="54" xfId="0" applyNumberFormat="1" applyFont="1" applyFill="1" applyBorder="1" applyAlignment="1">
      <alignment horizontal="center"/>
    </xf>
    <xf numFmtId="3" fontId="13" fillId="2" borderId="4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Protection="1">
      <protection locked="0"/>
    </xf>
    <xf numFmtId="0" fontId="13" fillId="0" borderId="6" xfId="0" applyFont="1" applyBorder="1" applyProtection="1">
      <protection locked="0"/>
    </xf>
    <xf numFmtId="0" fontId="13" fillId="0" borderId="8" xfId="0" applyFont="1" applyBorder="1" applyProtection="1">
      <protection locked="0"/>
    </xf>
    <xf numFmtId="0" fontId="13" fillId="0" borderId="9" xfId="0" applyFont="1" applyBorder="1" applyProtection="1">
      <protection locked="0"/>
    </xf>
    <xf numFmtId="0" fontId="13" fillId="0" borderId="10" xfId="0" applyFont="1" applyBorder="1" applyProtection="1"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3399FF"/>
      <color rgb="FF376BED"/>
      <color rgb="FF76D7FA"/>
      <color rgb="FF08ADE8"/>
      <color rgb="FF66FF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2079625</xdr:colOff>
      <xdr:row>2</xdr:row>
      <xdr:rowOff>31750</xdr:rowOff>
    </xdr:from>
    <xdr:to>
      <xdr:col>8</xdr:col>
      <xdr:colOff>269875</xdr:colOff>
      <xdr:row>3</xdr:row>
      <xdr:rowOff>396875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423275" y="539750"/>
          <a:ext cx="4762500" cy="898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400" b="1"/>
            <a:t>ORDER FORM</a:t>
          </a:r>
        </a:p>
      </xdr:txBody>
    </xdr:sp>
    <xdr:clientData/>
  </xdr:twoCellAnchor>
  <xdr:twoCellAnchor>
    <xdr:from>
      <xdr:col>1</xdr:col>
      <xdr:colOff>5156638</xdr:colOff>
      <xdr:row>0</xdr:row>
      <xdr:rowOff>111125</xdr:rowOff>
    </xdr:from>
    <xdr:to>
      <xdr:col>3</xdr:col>
      <xdr:colOff>1635125</xdr:colOff>
      <xdr:row>6</xdr:row>
      <xdr:rowOff>65689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875517" y="111125"/>
          <a:ext cx="4361246" cy="23850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AIRfeet</a:t>
          </a:r>
          <a:r>
            <a:rPr lang="en-US" sz="2400" b="1" baseline="0"/>
            <a:t> LLC</a:t>
          </a:r>
        </a:p>
        <a:p>
          <a:r>
            <a:rPr lang="en-US" sz="2400" b="1" baseline="0"/>
            <a:t>2346 S. Lynhurst Dr.</a:t>
          </a:r>
        </a:p>
        <a:p>
          <a:r>
            <a:rPr lang="en-US" sz="2400" b="1" baseline="0"/>
            <a:t>Suite 701</a:t>
          </a:r>
        </a:p>
        <a:p>
          <a:r>
            <a:rPr lang="en-US" sz="2400" b="1" baseline="0"/>
            <a:t>Indianapolis, IN 46241</a:t>
          </a:r>
        </a:p>
        <a:p>
          <a:r>
            <a:rPr lang="en-US" sz="2400" b="1" baseline="0"/>
            <a:t>info@myairfeet.com</a:t>
          </a:r>
        </a:p>
        <a:p>
          <a:r>
            <a:rPr lang="en-US" sz="2400" b="1" baseline="0"/>
            <a:t>317-965- 5212</a:t>
          </a:r>
          <a:endParaRPr lang="en-US" sz="2400" b="0"/>
        </a:p>
        <a:p>
          <a:endParaRPr lang="en-US" sz="2400" b="0"/>
        </a:p>
        <a:p>
          <a:endParaRPr lang="en-US" sz="1100"/>
        </a:p>
      </xdr:txBody>
    </xdr:sp>
    <xdr:clientData/>
  </xdr:twoCellAnchor>
  <xdr:twoCellAnchor editAs="oneCell">
    <xdr:from>
      <xdr:col>0</xdr:col>
      <xdr:colOff>766379</xdr:colOff>
      <xdr:row>1</xdr:row>
      <xdr:rowOff>229913</xdr:rowOff>
    </xdr:from>
    <xdr:to>
      <xdr:col>1</xdr:col>
      <xdr:colOff>4462476</xdr:colOff>
      <xdr:row>4</xdr:row>
      <xdr:rowOff>555188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379" y="416034"/>
          <a:ext cx="5414976" cy="1584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coma@progolfseatt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892F-02A2-4FDB-A082-3060EC1B4E15}">
  <sheetPr codeName="Sheet2">
    <pageSetUpPr fitToPage="1"/>
  </sheetPr>
  <dimension ref="A2:R992"/>
  <sheetViews>
    <sheetView tabSelected="1" zoomScale="58" zoomScaleNormal="47" workbookViewId="0">
      <selection activeCell="J24" sqref="J24"/>
    </sheetView>
  </sheetViews>
  <sheetFormatPr defaultColWidth="11.1640625" defaultRowHeight="15" customHeight="1" x14ac:dyDescent="0.65"/>
  <cols>
    <col min="1" max="1" width="22.5" style="10" customWidth="1"/>
    <col min="2" max="2" width="74.6640625" style="10" customWidth="1"/>
    <col min="3" max="3" width="28.6640625" style="84" customWidth="1"/>
    <col min="4" max="4" width="45" style="85" customWidth="1"/>
    <col min="5" max="5" width="20.9140625" style="10" customWidth="1"/>
    <col min="6" max="6" width="18.33203125" style="10" customWidth="1"/>
    <col min="7" max="9" width="10.5" style="10" customWidth="1"/>
    <col min="10" max="10" width="11.33203125" style="10" customWidth="1"/>
    <col min="11" max="12" width="12.5" style="10" customWidth="1"/>
    <col min="13" max="13" width="13.5" style="10" customWidth="1"/>
    <col min="14" max="14" width="14" style="10" customWidth="1"/>
    <col min="15" max="15" width="29.6640625" style="10" customWidth="1"/>
    <col min="16" max="28" width="10.5" style="10" customWidth="1"/>
    <col min="29" max="16384" width="11.1640625" style="10"/>
  </cols>
  <sheetData>
    <row r="2" spans="1:15" ht="25.25" x14ac:dyDescent="1.05">
      <c r="A2" s="1"/>
      <c r="B2" s="2"/>
      <c r="C2" s="3"/>
      <c r="D2" s="4"/>
      <c r="E2" s="5"/>
      <c r="F2" s="6"/>
      <c r="G2" s="2"/>
      <c r="H2" s="2"/>
      <c r="I2" s="2"/>
      <c r="J2" s="2"/>
      <c r="K2" s="2"/>
      <c r="L2" s="7"/>
      <c r="M2" s="2"/>
      <c r="N2" s="8"/>
      <c r="O2" s="9"/>
    </row>
    <row r="3" spans="1:15" ht="42" customHeight="1" x14ac:dyDescent="1.65">
      <c r="A3" s="1"/>
      <c r="B3" s="2"/>
      <c r="C3" s="3"/>
      <c r="D3" s="4"/>
      <c r="E3" s="11"/>
      <c r="F3" s="12"/>
      <c r="G3" s="13"/>
      <c r="H3" s="2"/>
      <c r="I3" s="2"/>
      <c r="J3" s="2"/>
      <c r="K3" s="2"/>
      <c r="L3" s="7"/>
      <c r="M3" s="2"/>
      <c r="N3" s="8"/>
      <c r="O3" s="9"/>
    </row>
    <row r="4" spans="1:15" ht="32" customHeight="1" x14ac:dyDescent="1.65">
      <c r="A4" s="14"/>
      <c r="B4" s="7"/>
      <c r="C4" s="3"/>
      <c r="D4" s="15"/>
      <c r="E4" s="16"/>
      <c r="F4" s="16"/>
      <c r="G4" s="17"/>
      <c r="H4" s="7"/>
      <c r="I4" s="7"/>
      <c r="J4" s="7"/>
      <c r="K4" s="7"/>
      <c r="L4" s="7"/>
      <c r="M4" s="7"/>
      <c r="N4" s="18"/>
      <c r="O4" s="19"/>
    </row>
    <row r="5" spans="1:15" ht="48.5" customHeight="1" x14ac:dyDescent="1.4">
      <c r="A5" s="1"/>
      <c r="B5" s="20"/>
      <c r="C5" s="21"/>
      <c r="D5" s="4"/>
      <c r="E5" s="108" t="s">
        <v>0</v>
      </c>
      <c r="F5" s="177" t="s">
        <v>99</v>
      </c>
      <c r="G5" s="177"/>
      <c r="H5" s="177"/>
      <c r="I5" s="177"/>
      <c r="J5" s="9"/>
      <c r="K5" s="108" t="s">
        <v>1</v>
      </c>
      <c r="L5" s="23"/>
      <c r="M5" s="168">
        <v>45880</v>
      </c>
      <c r="N5" s="168"/>
      <c r="O5" s="168"/>
    </row>
    <row r="6" spans="1:15" ht="29.25" customHeight="1" x14ac:dyDescent="1">
      <c r="A6" s="1"/>
      <c r="B6" s="2"/>
      <c r="C6" s="3"/>
      <c r="D6" s="4"/>
      <c r="E6" s="6"/>
      <c r="F6" s="189" t="s">
        <v>111</v>
      </c>
      <c r="G6" s="189"/>
      <c r="H6" s="189"/>
      <c r="I6" s="189"/>
      <c r="J6" s="2"/>
      <c r="K6" s="2"/>
      <c r="L6" s="7"/>
      <c r="M6" s="178" t="s">
        <v>98</v>
      </c>
      <c r="N6" s="179"/>
      <c r="O6" s="179"/>
    </row>
    <row r="7" spans="1:15" ht="30.75" customHeight="1" x14ac:dyDescent="1.65">
      <c r="A7" s="24"/>
      <c r="B7" s="191" t="s">
        <v>101</v>
      </c>
      <c r="C7" s="191"/>
      <c r="D7" s="191"/>
      <c r="E7" s="109" t="s">
        <v>2</v>
      </c>
      <c r="F7" s="190"/>
      <c r="G7" s="190"/>
      <c r="H7" s="190"/>
      <c r="I7" s="190"/>
      <c r="J7" s="172" t="s">
        <v>3</v>
      </c>
      <c r="K7" s="173"/>
      <c r="L7" s="25"/>
      <c r="M7" s="180"/>
      <c r="N7" s="180"/>
      <c r="O7" s="180"/>
    </row>
    <row r="8" spans="1:15" ht="24.75" customHeight="1" x14ac:dyDescent="1.05">
      <c r="A8" s="106" t="s">
        <v>4</v>
      </c>
      <c r="B8" s="192"/>
      <c r="C8" s="192"/>
      <c r="D8" s="192"/>
      <c r="E8" s="22"/>
      <c r="F8" s="189" t="s">
        <v>100</v>
      </c>
      <c r="G8" s="189"/>
      <c r="H8" s="189"/>
      <c r="I8" s="189"/>
      <c r="J8" s="2"/>
      <c r="K8" s="2"/>
      <c r="L8" s="7"/>
      <c r="M8" s="195" t="s">
        <v>112</v>
      </c>
      <c r="N8" s="196"/>
      <c r="O8" s="196"/>
    </row>
    <row r="9" spans="1:15" ht="24.75" customHeight="1" x14ac:dyDescent="1.05">
      <c r="A9" s="26"/>
      <c r="B9" s="2"/>
      <c r="C9" s="3"/>
      <c r="D9" s="27"/>
      <c r="E9" s="109" t="s">
        <v>5</v>
      </c>
      <c r="F9" s="190"/>
      <c r="G9" s="190"/>
      <c r="H9" s="190"/>
      <c r="I9" s="190"/>
      <c r="J9" s="172" t="s">
        <v>6</v>
      </c>
      <c r="K9" s="173"/>
      <c r="L9" s="25"/>
      <c r="M9" s="197"/>
      <c r="N9" s="197"/>
      <c r="O9" s="197"/>
    </row>
    <row r="10" spans="1:15" ht="25.25" x14ac:dyDescent="1.05">
      <c r="A10" s="107" t="s">
        <v>7</v>
      </c>
      <c r="B10" s="193" t="s">
        <v>102</v>
      </c>
      <c r="C10" s="193"/>
      <c r="D10" s="193"/>
      <c r="E10" s="110" t="s">
        <v>8</v>
      </c>
      <c r="F10" s="206" t="s">
        <v>105</v>
      </c>
      <c r="G10" s="206"/>
      <c r="H10" s="206"/>
      <c r="I10" s="206"/>
      <c r="J10" s="206"/>
      <c r="K10" s="206"/>
      <c r="L10" s="206"/>
      <c r="M10" s="206"/>
      <c r="N10" s="8"/>
      <c r="O10" s="9"/>
    </row>
    <row r="11" spans="1:15" ht="25.25" x14ac:dyDescent="1.05">
      <c r="A11" s="107" t="s">
        <v>9</v>
      </c>
      <c r="B11" s="194"/>
      <c r="C11" s="194"/>
      <c r="D11" s="194"/>
      <c r="E11" s="111" t="s">
        <v>9</v>
      </c>
      <c r="F11" s="207"/>
      <c r="G11" s="207"/>
      <c r="H11" s="207"/>
      <c r="I11" s="207"/>
      <c r="J11" s="207"/>
      <c r="K11" s="207"/>
      <c r="L11" s="207"/>
      <c r="M11" s="207"/>
      <c r="N11" s="28"/>
      <c r="O11" s="28"/>
    </row>
    <row r="12" spans="1:15" ht="49" customHeight="1" x14ac:dyDescent="1.2">
      <c r="A12" s="26"/>
      <c r="B12" s="174" t="s">
        <v>103</v>
      </c>
      <c r="C12" s="174"/>
      <c r="D12" s="174"/>
      <c r="E12" s="6"/>
      <c r="F12" s="222" t="s">
        <v>106</v>
      </c>
      <c r="G12" s="222"/>
      <c r="H12" s="222"/>
      <c r="I12" s="222"/>
      <c r="J12" s="222"/>
      <c r="K12" s="222"/>
      <c r="L12" s="222"/>
      <c r="M12" s="222"/>
      <c r="N12" s="28"/>
      <c r="O12" s="28"/>
    </row>
    <row r="13" spans="1:15" ht="49" customHeight="1" x14ac:dyDescent="1.2">
      <c r="A13" s="26"/>
      <c r="B13" s="174" t="s">
        <v>104</v>
      </c>
      <c r="C13" s="174"/>
      <c r="D13" s="174"/>
      <c r="E13" s="22"/>
      <c r="F13" s="222" t="s">
        <v>107</v>
      </c>
      <c r="G13" s="222"/>
      <c r="H13" s="222"/>
      <c r="I13" s="222"/>
      <c r="J13" s="222"/>
      <c r="K13" s="222"/>
      <c r="L13" s="222"/>
      <c r="M13" s="222"/>
      <c r="N13" s="28"/>
      <c r="O13" s="28"/>
    </row>
    <row r="14" spans="1:15" ht="49" customHeight="1" x14ac:dyDescent="1.2">
      <c r="A14" s="26"/>
      <c r="B14" s="174"/>
      <c r="C14" s="174"/>
      <c r="D14" s="174"/>
      <c r="E14" s="6"/>
      <c r="F14" s="222" t="s">
        <v>108</v>
      </c>
      <c r="G14" s="222"/>
      <c r="H14" s="222"/>
      <c r="I14" s="222"/>
      <c r="J14" s="222"/>
      <c r="K14" s="222"/>
      <c r="L14" s="222"/>
      <c r="M14" s="222"/>
      <c r="N14" s="28"/>
      <c r="O14" s="28"/>
    </row>
    <row r="15" spans="1:15" ht="49" customHeight="1" x14ac:dyDescent="1.2">
      <c r="A15" s="26"/>
      <c r="B15" s="174"/>
      <c r="C15" s="174"/>
      <c r="D15" s="174"/>
      <c r="E15" s="29"/>
      <c r="F15" s="255"/>
      <c r="G15" s="256"/>
      <c r="H15" s="256"/>
      <c r="I15" s="256"/>
      <c r="J15" s="256"/>
      <c r="K15" s="256"/>
      <c r="L15" s="256"/>
      <c r="M15" s="256"/>
      <c r="N15" s="28"/>
      <c r="O15" s="28"/>
    </row>
    <row r="16" spans="1:15" ht="25" x14ac:dyDescent="1">
      <c r="A16" s="26"/>
      <c r="B16" s="208" t="s">
        <v>100</v>
      </c>
      <c r="C16" s="208"/>
      <c r="D16" s="208"/>
      <c r="E16" s="6"/>
      <c r="F16" s="259" t="s">
        <v>109</v>
      </c>
      <c r="G16" s="260"/>
      <c r="H16" s="260"/>
      <c r="I16" s="261"/>
      <c r="J16" s="2"/>
      <c r="K16" s="2"/>
      <c r="L16" s="7"/>
      <c r="M16" s="210">
        <v>8093</v>
      </c>
      <c r="N16" s="210"/>
      <c r="O16" s="210"/>
    </row>
    <row r="17" spans="1:15" ht="25.25" x14ac:dyDescent="1.05">
      <c r="A17" s="106" t="s">
        <v>10</v>
      </c>
      <c r="B17" s="209"/>
      <c r="C17" s="209"/>
      <c r="D17" s="209"/>
      <c r="E17" s="108" t="s">
        <v>12</v>
      </c>
      <c r="F17" s="262"/>
      <c r="G17" s="263"/>
      <c r="H17" s="263"/>
      <c r="I17" s="264"/>
      <c r="J17" s="2"/>
      <c r="K17" s="9" t="s">
        <v>13</v>
      </c>
      <c r="L17" s="7"/>
      <c r="M17" s="211"/>
      <c r="N17" s="211"/>
      <c r="O17" s="211"/>
    </row>
    <row r="18" spans="1:15" ht="30" x14ac:dyDescent="1.2">
      <c r="A18" s="1"/>
      <c r="B18" s="221"/>
      <c r="C18" s="30"/>
      <c r="D18" s="4"/>
      <c r="E18" s="214" t="s">
        <v>110</v>
      </c>
      <c r="F18" s="214"/>
      <c r="G18" s="214"/>
      <c r="H18" s="214"/>
      <c r="I18" s="214"/>
      <c r="J18" s="2"/>
      <c r="K18" s="2"/>
      <c r="L18" s="7"/>
      <c r="M18" s="212"/>
      <c r="N18" s="212"/>
      <c r="O18" s="212"/>
    </row>
    <row r="19" spans="1:15" ht="30" x14ac:dyDescent="1.2">
      <c r="A19" s="106" t="s">
        <v>14</v>
      </c>
      <c r="B19" s="194"/>
      <c r="C19" s="30"/>
      <c r="D19" s="112" t="s">
        <v>15</v>
      </c>
      <c r="E19" s="215"/>
      <c r="F19" s="215"/>
      <c r="G19" s="215"/>
      <c r="H19" s="215"/>
      <c r="I19" s="215"/>
      <c r="J19" s="172" t="s">
        <v>16</v>
      </c>
      <c r="K19" s="173"/>
      <c r="L19" s="25"/>
      <c r="M19" s="213"/>
      <c r="N19" s="213"/>
      <c r="O19" s="213"/>
    </row>
    <row r="20" spans="1:15" ht="26" thickBot="1" x14ac:dyDescent="1.2">
      <c r="A20" s="31"/>
      <c r="B20" s="7"/>
      <c r="C20" s="3"/>
      <c r="D20" s="32"/>
      <c r="E20" s="23"/>
      <c r="F20" s="33"/>
      <c r="G20" s="34"/>
      <c r="H20" s="34"/>
      <c r="I20" s="34"/>
      <c r="J20" s="34"/>
      <c r="K20" s="34"/>
      <c r="L20" s="34"/>
      <c r="M20" s="7"/>
      <c r="N20" s="18"/>
      <c r="O20" s="19"/>
    </row>
    <row r="21" spans="1:15" ht="43" customHeight="1" thickBot="1" x14ac:dyDescent="0.8">
      <c r="A21" s="113" t="s">
        <v>31</v>
      </c>
      <c r="B21" s="186" t="s">
        <v>114</v>
      </c>
      <c r="C21" s="187"/>
      <c r="D21" s="188"/>
      <c r="E21" s="183" t="s">
        <v>81</v>
      </c>
      <c r="F21" s="184"/>
      <c r="G21" s="184"/>
      <c r="H21" s="184"/>
      <c r="I21" s="184"/>
      <c r="J21" s="184"/>
      <c r="K21" s="185"/>
      <c r="L21" s="137" t="s">
        <v>30</v>
      </c>
      <c r="M21" s="200"/>
      <c r="N21" s="201"/>
      <c r="O21" s="202"/>
    </row>
    <row r="22" spans="1:15" ht="47" thickBot="1" x14ac:dyDescent="1.2">
      <c r="A22" s="35" t="s">
        <v>17</v>
      </c>
      <c r="B22" s="36" t="s">
        <v>80</v>
      </c>
      <c r="C22" s="37" t="s">
        <v>46</v>
      </c>
      <c r="D22" s="38" t="s">
        <v>45</v>
      </c>
      <c r="E22" s="39" t="s">
        <v>18</v>
      </c>
      <c r="F22" s="40" t="s">
        <v>19</v>
      </c>
      <c r="G22" s="41" t="s">
        <v>67</v>
      </c>
      <c r="H22" s="41" t="s">
        <v>35</v>
      </c>
      <c r="I22" s="42" t="s">
        <v>36</v>
      </c>
      <c r="J22" s="42" t="s">
        <v>20</v>
      </c>
      <c r="K22" s="43" t="s">
        <v>21</v>
      </c>
      <c r="L22" s="44" t="s">
        <v>22</v>
      </c>
      <c r="M22" s="44" t="s">
        <v>23</v>
      </c>
      <c r="N22" s="45" t="s">
        <v>24</v>
      </c>
      <c r="O22" s="46" t="s">
        <v>25</v>
      </c>
    </row>
    <row r="23" spans="1:15" ht="46" customHeight="1" thickBot="1" x14ac:dyDescent="0.8">
      <c r="A23" s="169" t="s">
        <v>34</v>
      </c>
      <c r="B23" s="98" t="s">
        <v>88</v>
      </c>
      <c r="C23" s="97" t="s">
        <v>47</v>
      </c>
      <c r="D23" s="96">
        <v>856644003941</v>
      </c>
      <c r="E23" s="63">
        <v>29.95</v>
      </c>
      <c r="F23" s="48">
        <v>14.95</v>
      </c>
      <c r="G23" s="145">
        <v>6</v>
      </c>
      <c r="H23" s="138">
        <v>4</v>
      </c>
      <c r="I23" s="121"/>
      <c r="J23" s="65"/>
      <c r="K23" s="65"/>
      <c r="L23" s="65"/>
      <c r="M23" s="120"/>
      <c r="N23" s="49">
        <f>H23*G23</f>
        <v>24</v>
      </c>
      <c r="O23" s="50">
        <f>N23*F23</f>
        <v>358.79999999999995</v>
      </c>
    </row>
    <row r="24" spans="1:15" ht="46" customHeight="1" thickBot="1" x14ac:dyDescent="0.8">
      <c r="A24" s="170"/>
      <c r="B24" s="98" t="s">
        <v>89</v>
      </c>
      <c r="C24" s="97" t="s">
        <v>48</v>
      </c>
      <c r="D24" s="105">
        <v>856644003934</v>
      </c>
      <c r="E24" s="77">
        <v>29.95</v>
      </c>
      <c r="F24" s="78">
        <v>14.95</v>
      </c>
      <c r="G24" s="131">
        <v>6</v>
      </c>
      <c r="H24" s="146"/>
      <c r="I24" s="138">
        <v>6</v>
      </c>
      <c r="J24" s="147"/>
      <c r="K24" s="68"/>
      <c r="L24" s="68"/>
      <c r="M24" s="142"/>
      <c r="N24" s="79">
        <f>I24*G24</f>
        <v>36</v>
      </c>
      <c r="O24" s="149">
        <f>N24*F24</f>
        <v>538.19999999999993</v>
      </c>
    </row>
    <row r="25" spans="1:15" ht="45" customHeight="1" thickBot="1" x14ac:dyDescent="1.2">
      <c r="A25" s="171"/>
      <c r="B25" s="216" t="s">
        <v>82</v>
      </c>
      <c r="C25" s="217"/>
      <c r="D25" s="154"/>
      <c r="E25" s="154"/>
      <c r="F25" s="154"/>
      <c r="G25" s="154"/>
      <c r="H25" s="154"/>
      <c r="I25" s="154"/>
      <c r="J25" s="154"/>
      <c r="K25" s="154"/>
      <c r="L25" s="175" t="s">
        <v>32</v>
      </c>
      <c r="M25" s="176"/>
      <c r="N25" s="61">
        <f>SUM(N23:N24)</f>
        <v>60</v>
      </c>
      <c r="O25" s="56">
        <f>SUM(O23:O24)</f>
        <v>896.99999999999989</v>
      </c>
    </row>
    <row r="26" spans="1:15" ht="45" customHeight="1" thickBot="1" x14ac:dyDescent="1.35">
      <c r="A26" s="170"/>
      <c r="B26" s="103" t="s">
        <v>38</v>
      </c>
      <c r="C26" s="97" t="s">
        <v>90</v>
      </c>
      <c r="D26" s="96">
        <v>856644003828</v>
      </c>
      <c r="E26" s="47">
        <v>34.950000000000003</v>
      </c>
      <c r="F26" s="78">
        <v>17.5</v>
      </c>
      <c r="G26" s="140">
        <v>6</v>
      </c>
      <c r="H26" s="65"/>
      <c r="I26" s="65"/>
      <c r="J26" s="139"/>
      <c r="K26" s="65"/>
      <c r="L26" s="65"/>
      <c r="M26" s="120"/>
      <c r="N26" s="114">
        <f>J26*G26</f>
        <v>0</v>
      </c>
      <c r="O26" s="57">
        <f t="shared" ref="O26:O29" si="0">+N26*F26</f>
        <v>0</v>
      </c>
    </row>
    <row r="27" spans="1:15" ht="45" customHeight="1" thickBot="1" x14ac:dyDescent="1.35">
      <c r="A27" s="170"/>
      <c r="B27" s="103" t="s">
        <v>39</v>
      </c>
      <c r="C27" s="97" t="s">
        <v>91</v>
      </c>
      <c r="D27" s="96">
        <v>856644003811</v>
      </c>
      <c r="E27" s="47">
        <v>34.950000000000003</v>
      </c>
      <c r="F27" s="71">
        <v>17.5</v>
      </c>
      <c r="G27" s="140">
        <v>6</v>
      </c>
      <c r="H27" s="65"/>
      <c r="I27" s="65"/>
      <c r="J27" s="65"/>
      <c r="K27" s="139"/>
      <c r="L27" s="65"/>
      <c r="M27" s="120"/>
      <c r="N27" s="114">
        <f>K27*G27</f>
        <v>0</v>
      </c>
      <c r="O27" s="57">
        <f t="shared" si="0"/>
        <v>0</v>
      </c>
    </row>
    <row r="28" spans="1:15" ht="45" customHeight="1" thickBot="1" x14ac:dyDescent="1.35">
      <c r="A28" s="170"/>
      <c r="B28" s="103" t="s">
        <v>40</v>
      </c>
      <c r="C28" s="97" t="s">
        <v>92</v>
      </c>
      <c r="D28" s="96">
        <v>856644003804</v>
      </c>
      <c r="E28" s="47">
        <v>34.950000000000003</v>
      </c>
      <c r="F28" s="71">
        <v>17.5</v>
      </c>
      <c r="G28" s="140">
        <v>6</v>
      </c>
      <c r="H28" s="65"/>
      <c r="I28" s="65"/>
      <c r="J28" s="65"/>
      <c r="K28" s="65"/>
      <c r="L28" s="139"/>
      <c r="M28" s="120"/>
      <c r="N28" s="114">
        <f>L28*G28</f>
        <v>0</v>
      </c>
      <c r="O28" s="57">
        <f t="shared" si="0"/>
        <v>0</v>
      </c>
    </row>
    <row r="29" spans="1:15" ht="45" customHeight="1" thickBot="1" x14ac:dyDescent="0.8">
      <c r="A29" s="170"/>
      <c r="B29" s="104" t="s">
        <v>41</v>
      </c>
      <c r="C29" s="97" t="s">
        <v>93</v>
      </c>
      <c r="D29" s="96">
        <v>856644003798</v>
      </c>
      <c r="E29" s="47">
        <v>34.950000000000003</v>
      </c>
      <c r="F29" s="71">
        <v>17.5</v>
      </c>
      <c r="G29" s="143">
        <v>6</v>
      </c>
      <c r="H29" s="68"/>
      <c r="I29" s="68"/>
      <c r="J29" s="68"/>
      <c r="K29" s="68"/>
      <c r="L29" s="68"/>
      <c r="M29" s="148"/>
      <c r="N29" s="150">
        <f>M29*G29</f>
        <v>0</v>
      </c>
      <c r="O29" s="118">
        <f t="shared" si="0"/>
        <v>0</v>
      </c>
    </row>
    <row r="30" spans="1:15" ht="45" customHeight="1" thickBot="1" x14ac:dyDescent="1.2">
      <c r="A30" s="170"/>
      <c r="B30" s="217" t="s">
        <v>113</v>
      </c>
      <c r="C30" s="217"/>
      <c r="D30" s="152"/>
      <c r="E30" s="152"/>
      <c r="F30" s="152"/>
      <c r="G30" s="152"/>
      <c r="H30" s="153"/>
      <c r="I30" s="153"/>
      <c r="J30" s="153"/>
      <c r="K30" s="153"/>
      <c r="L30" s="181" t="s">
        <v>32</v>
      </c>
      <c r="M30" s="182"/>
      <c r="N30" s="116">
        <f>SUM(N26:N29)</f>
        <v>0</v>
      </c>
      <c r="O30" s="117">
        <f>SUM(O26:O29)</f>
        <v>0</v>
      </c>
    </row>
    <row r="31" spans="1:15" ht="45" customHeight="1" thickBot="1" x14ac:dyDescent="1.1000000000000001">
      <c r="A31" s="170"/>
      <c r="B31" s="87" t="s">
        <v>37</v>
      </c>
      <c r="C31" s="97" t="s">
        <v>94</v>
      </c>
      <c r="D31" s="96">
        <v>856644003385</v>
      </c>
      <c r="E31" s="47">
        <v>39.950000000000003</v>
      </c>
      <c r="F31" s="119">
        <v>19.5</v>
      </c>
      <c r="G31" s="115">
        <v>6</v>
      </c>
      <c r="H31" s="130"/>
      <c r="I31" s="122"/>
      <c r="J31" s="138"/>
      <c r="K31" s="132"/>
      <c r="L31" s="65"/>
      <c r="M31" s="120"/>
      <c r="N31" s="128">
        <f>J31*G31</f>
        <v>0</v>
      </c>
      <c r="O31" s="118">
        <f>+N31*F31</f>
        <v>0</v>
      </c>
    </row>
    <row r="32" spans="1:15" ht="45" customHeight="1" thickBot="1" x14ac:dyDescent="1.1000000000000001">
      <c r="A32" s="170"/>
      <c r="B32" s="87" t="s">
        <v>42</v>
      </c>
      <c r="C32" s="97" t="s">
        <v>95</v>
      </c>
      <c r="D32" s="96">
        <v>856644003361</v>
      </c>
      <c r="E32" s="47">
        <v>39.950000000000003</v>
      </c>
      <c r="F32" s="101">
        <v>19.5</v>
      </c>
      <c r="G32" s="115">
        <v>6</v>
      </c>
      <c r="H32" s="123"/>
      <c r="I32" s="124"/>
      <c r="J32" s="58"/>
      <c r="K32" s="138"/>
      <c r="L32" s="133"/>
      <c r="M32" s="125"/>
      <c r="N32" s="129">
        <f>K32*G32</f>
        <v>0</v>
      </c>
      <c r="O32" s="118">
        <f t="shared" ref="O32:O34" si="1">+N32*F32</f>
        <v>0</v>
      </c>
    </row>
    <row r="33" spans="1:15" ht="45" customHeight="1" thickBot="1" x14ac:dyDescent="1.1000000000000001">
      <c r="A33" s="170"/>
      <c r="B33" s="87" t="s">
        <v>43</v>
      </c>
      <c r="C33" s="97" t="s">
        <v>96</v>
      </c>
      <c r="D33" s="96">
        <v>856644003330</v>
      </c>
      <c r="E33" s="47">
        <v>39.950000000000003</v>
      </c>
      <c r="F33" s="101">
        <v>19.5</v>
      </c>
      <c r="G33" s="115">
        <v>6</v>
      </c>
      <c r="H33" s="123"/>
      <c r="I33" s="124"/>
      <c r="J33" s="124"/>
      <c r="K33" s="58"/>
      <c r="L33" s="138"/>
      <c r="M33" s="135"/>
      <c r="N33" s="129">
        <f>L33*G33</f>
        <v>0</v>
      </c>
      <c r="O33" s="118">
        <f t="shared" si="1"/>
        <v>0</v>
      </c>
    </row>
    <row r="34" spans="1:15" ht="45" customHeight="1" thickBot="1" x14ac:dyDescent="1.1000000000000001">
      <c r="A34" s="170"/>
      <c r="B34" s="95" t="s">
        <v>44</v>
      </c>
      <c r="C34" s="97" t="s">
        <v>97</v>
      </c>
      <c r="D34" s="96">
        <v>856644003323</v>
      </c>
      <c r="E34" s="102">
        <v>39.950000000000003</v>
      </c>
      <c r="F34" s="101">
        <v>19.5</v>
      </c>
      <c r="G34" s="127">
        <v>6</v>
      </c>
      <c r="H34" s="126"/>
      <c r="I34" s="73"/>
      <c r="J34" s="73"/>
      <c r="K34" s="73"/>
      <c r="L34" s="134"/>
      <c r="M34" s="138"/>
      <c r="N34" s="129">
        <f>M34*G34</f>
        <v>0</v>
      </c>
      <c r="O34" s="118">
        <f t="shared" si="1"/>
        <v>0</v>
      </c>
    </row>
    <row r="35" spans="1:15" ht="33.5" customHeight="1" thickBot="1" x14ac:dyDescent="1.1499999999999999">
      <c r="A35" s="218"/>
      <c r="B35" s="219"/>
      <c r="C35" s="167"/>
      <c r="D35" s="257"/>
      <c r="E35" s="257"/>
      <c r="F35" s="257"/>
      <c r="G35" s="257"/>
      <c r="H35" s="257"/>
      <c r="I35" s="257"/>
      <c r="J35" s="257"/>
      <c r="K35" s="258"/>
      <c r="L35" s="203" t="s">
        <v>32</v>
      </c>
      <c r="M35" s="204"/>
      <c r="N35" s="60">
        <f>SUM(N31:N34)</f>
        <v>0</v>
      </c>
      <c r="O35" s="56">
        <f>SUM(O31:O34)</f>
        <v>0</v>
      </c>
    </row>
    <row r="36" spans="1:15" ht="45" customHeight="1" thickBot="1" x14ac:dyDescent="0.8">
      <c r="A36" s="198" t="s">
        <v>52</v>
      </c>
      <c r="B36" s="88" t="s">
        <v>49</v>
      </c>
      <c r="C36" s="62" t="s">
        <v>50</v>
      </c>
      <c r="D36" s="92">
        <v>856644003767</v>
      </c>
      <c r="E36" s="77">
        <v>13.95</v>
      </c>
      <c r="F36" s="78">
        <v>6.95</v>
      </c>
      <c r="G36" s="140">
        <v>6</v>
      </c>
      <c r="H36" s="64"/>
      <c r="I36" s="64"/>
      <c r="J36" s="64"/>
      <c r="K36" s="65"/>
      <c r="L36" s="141"/>
      <c r="M36" s="138"/>
      <c r="N36" s="79">
        <f>M36*G36</f>
        <v>0</v>
      </c>
      <c r="O36" s="149">
        <f>N36*F36</f>
        <v>0</v>
      </c>
    </row>
    <row r="37" spans="1:15" ht="45" customHeight="1" thickBot="1" x14ac:dyDescent="0.8">
      <c r="A37" s="171"/>
      <c r="B37" s="88" t="s">
        <v>53</v>
      </c>
      <c r="C37" s="62" t="s">
        <v>54</v>
      </c>
      <c r="D37" s="93">
        <v>856644003842</v>
      </c>
      <c r="E37" s="77">
        <v>12.5</v>
      </c>
      <c r="F37" s="78">
        <v>6.25</v>
      </c>
      <c r="G37" s="140">
        <v>6</v>
      </c>
      <c r="H37" s="67"/>
      <c r="I37" s="67"/>
      <c r="J37" s="68"/>
      <c r="K37" s="68"/>
      <c r="L37" s="142"/>
      <c r="M37" s="138"/>
      <c r="N37" s="79">
        <f t="shared" ref="N37:N39" si="2">M37*G37</f>
        <v>0</v>
      </c>
      <c r="O37" s="149">
        <f t="shared" ref="O37:O39" si="3">N37*F37</f>
        <v>0</v>
      </c>
    </row>
    <row r="38" spans="1:15" ht="45" customHeight="1" thickBot="1" x14ac:dyDescent="0.8">
      <c r="A38" s="171"/>
      <c r="B38" s="88" t="s">
        <v>55</v>
      </c>
      <c r="C38" s="62" t="s">
        <v>58</v>
      </c>
      <c r="D38" s="93">
        <v>856644003859</v>
      </c>
      <c r="E38" s="66">
        <v>15.95</v>
      </c>
      <c r="F38" s="78">
        <v>7.95</v>
      </c>
      <c r="G38" s="140">
        <v>6</v>
      </c>
      <c r="H38" s="67"/>
      <c r="I38" s="67"/>
      <c r="J38" s="68"/>
      <c r="K38" s="68"/>
      <c r="L38" s="142"/>
      <c r="M38" s="138"/>
      <c r="N38" s="79">
        <f t="shared" si="2"/>
        <v>0</v>
      </c>
      <c r="O38" s="149">
        <f t="shared" si="3"/>
        <v>0</v>
      </c>
    </row>
    <row r="39" spans="1:15" ht="45" customHeight="1" thickBot="1" x14ac:dyDescent="0.8">
      <c r="A39" s="199"/>
      <c r="B39" s="98" t="s">
        <v>59</v>
      </c>
      <c r="C39" s="99" t="s">
        <v>51</v>
      </c>
      <c r="D39" s="94">
        <v>856644003774</v>
      </c>
      <c r="E39" s="70">
        <v>13.95</v>
      </c>
      <c r="F39" s="100">
        <v>6.95</v>
      </c>
      <c r="G39" s="143">
        <v>6</v>
      </c>
      <c r="H39" s="72"/>
      <c r="I39" s="72"/>
      <c r="J39" s="73"/>
      <c r="K39" s="73"/>
      <c r="L39" s="144"/>
      <c r="M39" s="138"/>
      <c r="N39" s="79">
        <f t="shared" si="2"/>
        <v>0</v>
      </c>
      <c r="O39" s="149">
        <f t="shared" si="3"/>
        <v>0</v>
      </c>
    </row>
    <row r="40" spans="1:15" ht="45" customHeight="1" thickBot="1" x14ac:dyDescent="1.35">
      <c r="A40" s="205" t="s">
        <v>87</v>
      </c>
      <c r="B40" s="205"/>
      <c r="C40" s="59"/>
      <c r="D40" s="51"/>
      <c r="E40" s="52"/>
      <c r="F40" s="53"/>
      <c r="G40" s="54"/>
      <c r="H40" s="55"/>
      <c r="I40" s="55"/>
      <c r="J40" s="55"/>
      <c r="K40" s="55"/>
      <c r="L40" s="220" t="s">
        <v>32</v>
      </c>
      <c r="M40" s="220"/>
      <c r="N40" s="60">
        <f>SUM(N36:N39)</f>
        <v>0</v>
      </c>
      <c r="O40" s="74">
        <f>SUM(O36:O39)</f>
        <v>0</v>
      </c>
    </row>
    <row r="41" spans="1:15" ht="71" customHeight="1" thickBot="1" x14ac:dyDescent="0.8">
      <c r="A41" s="90" t="s">
        <v>62</v>
      </c>
      <c r="B41" s="89" t="s">
        <v>66</v>
      </c>
      <c r="C41" s="75" t="s">
        <v>63</v>
      </c>
      <c r="D41" s="76" t="s">
        <v>65</v>
      </c>
      <c r="E41" s="77">
        <v>125</v>
      </c>
      <c r="F41" s="78" t="s">
        <v>64</v>
      </c>
      <c r="G41" s="67"/>
      <c r="H41" s="67"/>
      <c r="I41" s="67"/>
      <c r="J41" s="67"/>
      <c r="K41" s="68"/>
      <c r="L41" s="69"/>
      <c r="M41" s="138"/>
      <c r="N41" s="79">
        <f>SUM(G41:M41)</f>
        <v>0</v>
      </c>
      <c r="O41" s="151">
        <v>0</v>
      </c>
    </row>
    <row r="42" spans="1:15" ht="71" customHeight="1" thickBot="1" x14ac:dyDescent="0.8">
      <c r="A42" s="90" t="s">
        <v>56</v>
      </c>
      <c r="B42" s="89" t="s">
        <v>68</v>
      </c>
      <c r="C42" s="75" t="s">
        <v>60</v>
      </c>
      <c r="D42" s="76" t="s">
        <v>57</v>
      </c>
      <c r="E42" s="77">
        <v>25</v>
      </c>
      <c r="F42" s="78" t="s">
        <v>64</v>
      </c>
      <c r="G42" s="67"/>
      <c r="H42" s="67"/>
      <c r="I42" s="67"/>
      <c r="J42" s="67"/>
      <c r="K42" s="68"/>
      <c r="L42" s="69"/>
      <c r="M42" s="138"/>
      <c r="N42" s="79">
        <f>SUM(G42:M42)</f>
        <v>0</v>
      </c>
      <c r="O42" s="151">
        <v>0</v>
      </c>
    </row>
    <row r="43" spans="1:15" ht="71" customHeight="1" thickBot="1" x14ac:dyDescent="0.8">
      <c r="A43" s="136" t="s">
        <v>71</v>
      </c>
      <c r="B43" s="89" t="s">
        <v>72</v>
      </c>
      <c r="C43" s="75" t="s">
        <v>73</v>
      </c>
      <c r="D43" s="76" t="s">
        <v>74</v>
      </c>
      <c r="E43" s="77">
        <v>15</v>
      </c>
      <c r="F43" s="78" t="s">
        <v>64</v>
      </c>
      <c r="G43" s="67"/>
      <c r="H43" s="67"/>
      <c r="I43" s="67"/>
      <c r="J43" s="67"/>
      <c r="K43" s="68"/>
      <c r="L43" s="69"/>
      <c r="M43" s="138"/>
      <c r="N43" s="79">
        <f t="shared" ref="N43:N44" si="4">SUM(G43:M43)</f>
        <v>0</v>
      </c>
      <c r="O43" s="151">
        <v>0</v>
      </c>
    </row>
    <row r="44" spans="1:15" ht="71" customHeight="1" thickBot="1" x14ac:dyDescent="0.8">
      <c r="A44" s="136" t="s">
        <v>75</v>
      </c>
      <c r="B44" s="89" t="s">
        <v>79</v>
      </c>
      <c r="C44" s="75" t="s">
        <v>78</v>
      </c>
      <c r="D44" s="76" t="s">
        <v>77</v>
      </c>
      <c r="E44" s="77" t="s">
        <v>76</v>
      </c>
      <c r="F44" s="78" t="s">
        <v>64</v>
      </c>
      <c r="G44" s="67"/>
      <c r="H44" s="67"/>
      <c r="I44" s="67"/>
      <c r="J44" s="67"/>
      <c r="K44" s="68"/>
      <c r="L44" s="69"/>
      <c r="M44" s="138"/>
      <c r="N44" s="79">
        <f t="shared" si="4"/>
        <v>0</v>
      </c>
      <c r="O44" s="151">
        <v>0</v>
      </c>
    </row>
    <row r="45" spans="1:15" ht="71" customHeight="1" thickBot="1" x14ac:dyDescent="0.8">
      <c r="A45" s="91" t="s">
        <v>33</v>
      </c>
      <c r="B45" s="89" t="s">
        <v>69</v>
      </c>
      <c r="C45" s="75" t="s">
        <v>61</v>
      </c>
      <c r="D45" s="76" t="s">
        <v>57</v>
      </c>
      <c r="E45" s="77">
        <v>10.5</v>
      </c>
      <c r="F45" s="78" t="s">
        <v>64</v>
      </c>
      <c r="G45" s="67"/>
      <c r="H45" s="67"/>
      <c r="I45" s="67"/>
      <c r="J45" s="67"/>
      <c r="K45" s="68"/>
      <c r="L45" s="69"/>
      <c r="M45" s="138"/>
      <c r="N45" s="79">
        <f>SUM(G45:M45)</f>
        <v>0</v>
      </c>
      <c r="O45" s="151">
        <v>0</v>
      </c>
    </row>
    <row r="46" spans="1:15" ht="45" customHeight="1" thickBot="1" x14ac:dyDescent="1.35">
      <c r="A46" s="226" t="s">
        <v>70</v>
      </c>
      <c r="B46" s="226"/>
      <c r="C46" s="226"/>
      <c r="D46" s="226"/>
      <c r="E46" s="52"/>
      <c r="F46" s="53"/>
      <c r="G46" s="54"/>
      <c r="H46" s="55"/>
      <c r="I46" s="55"/>
      <c r="J46" s="55"/>
      <c r="K46" s="55"/>
      <c r="L46" s="220" t="s">
        <v>32</v>
      </c>
      <c r="M46" s="220"/>
      <c r="N46" s="61">
        <f>SUM(N41:N45)</f>
        <v>0</v>
      </c>
      <c r="O46" s="74">
        <f>SUM(O45:O45)</f>
        <v>0</v>
      </c>
    </row>
    <row r="47" spans="1:15" ht="20" customHeight="1" x14ac:dyDescent="0.65">
      <c r="A47" s="223"/>
      <c r="B47" s="223"/>
      <c r="C47" s="223"/>
      <c r="D47" s="223"/>
      <c r="E47" s="223"/>
      <c r="F47" s="223"/>
      <c r="G47" s="223"/>
      <c r="H47" s="223"/>
      <c r="I47" s="223"/>
      <c r="J47" s="223"/>
      <c r="K47" s="223"/>
      <c r="L47" s="223"/>
      <c r="M47" s="223"/>
      <c r="N47" s="223"/>
      <c r="O47" s="223"/>
    </row>
    <row r="48" spans="1:15" ht="46" customHeight="1" thickBot="1" x14ac:dyDescent="1.2">
      <c r="A48" s="80" t="s">
        <v>26</v>
      </c>
      <c r="B48" s="2"/>
      <c r="C48" s="3"/>
      <c r="D48" s="4"/>
      <c r="E48" s="5"/>
      <c r="F48" s="6"/>
      <c r="G48" s="13"/>
      <c r="H48" s="2"/>
      <c r="I48" s="2"/>
      <c r="J48" s="2"/>
      <c r="K48" s="2"/>
      <c r="L48" s="7"/>
      <c r="M48" s="2"/>
      <c r="N48" s="8"/>
      <c r="O48" s="9"/>
    </row>
    <row r="49" spans="1:18" ht="45" customHeight="1" thickBot="1" x14ac:dyDescent="0.8">
      <c r="A49" s="227"/>
      <c r="B49" s="228"/>
      <c r="C49" s="228"/>
      <c r="D49" s="228"/>
      <c r="E49" s="228"/>
      <c r="F49" s="228"/>
      <c r="G49" s="228"/>
      <c r="H49" s="228"/>
      <c r="I49" s="229"/>
      <c r="J49" s="81"/>
      <c r="K49" s="238" t="s">
        <v>83</v>
      </c>
      <c r="L49" s="239"/>
      <c r="M49" s="240"/>
      <c r="N49" s="155">
        <f>N35+N30+N25</f>
        <v>60</v>
      </c>
      <c r="O49" s="156">
        <f>O35+O30+O25</f>
        <v>896.99999999999989</v>
      </c>
      <c r="R49" s="10" t="s">
        <v>11</v>
      </c>
    </row>
    <row r="50" spans="1:18" ht="45" customHeight="1" thickBot="1" x14ac:dyDescent="0.8">
      <c r="A50" s="230"/>
      <c r="B50" s="231"/>
      <c r="C50" s="231"/>
      <c r="D50" s="231"/>
      <c r="E50" s="231"/>
      <c r="F50" s="231"/>
      <c r="G50" s="231"/>
      <c r="H50" s="231"/>
      <c r="I50" s="232"/>
      <c r="J50" s="253" t="s">
        <v>84</v>
      </c>
      <c r="K50" s="239"/>
      <c r="L50" s="239"/>
      <c r="M50" s="254"/>
      <c r="N50" s="157">
        <f>N40</f>
        <v>0</v>
      </c>
      <c r="O50" s="158">
        <f>O40</f>
        <v>0</v>
      </c>
    </row>
    <row r="51" spans="1:18" ht="45" customHeight="1" thickBot="1" x14ac:dyDescent="0.8">
      <c r="A51" s="230"/>
      <c r="B51" s="231"/>
      <c r="C51" s="231"/>
      <c r="D51" s="231"/>
      <c r="E51" s="231"/>
      <c r="F51" s="231"/>
      <c r="G51" s="231"/>
      <c r="H51" s="231"/>
      <c r="I51" s="232"/>
      <c r="J51" s="82"/>
      <c r="K51" s="238" t="s">
        <v>85</v>
      </c>
      <c r="L51" s="239"/>
      <c r="M51" s="252"/>
      <c r="N51" s="161">
        <f>N49+N50</f>
        <v>60</v>
      </c>
      <c r="O51" s="162">
        <f>O49+O50</f>
        <v>896.99999999999989</v>
      </c>
    </row>
    <row r="52" spans="1:18" ht="45" customHeight="1" thickBot="1" x14ac:dyDescent="0.8">
      <c r="A52" s="230"/>
      <c r="B52" s="231"/>
      <c r="C52" s="231"/>
      <c r="D52" s="231"/>
      <c r="E52" s="231"/>
      <c r="F52" s="231"/>
      <c r="G52" s="231"/>
      <c r="H52" s="231"/>
      <c r="I52" s="232"/>
      <c r="J52" s="81"/>
      <c r="K52" s="238" t="s">
        <v>86</v>
      </c>
      <c r="L52" s="239"/>
      <c r="M52" s="240"/>
      <c r="N52" s="159">
        <f>N46</f>
        <v>0</v>
      </c>
      <c r="O52" s="160">
        <f>O46</f>
        <v>0</v>
      </c>
      <c r="R52" s="10" t="s">
        <v>11</v>
      </c>
    </row>
    <row r="53" spans="1:18" ht="45" customHeight="1" thickBot="1" x14ac:dyDescent="0.8">
      <c r="A53" s="230"/>
      <c r="B53" s="231"/>
      <c r="C53" s="231"/>
      <c r="D53" s="231"/>
      <c r="E53" s="231"/>
      <c r="F53" s="231"/>
      <c r="G53" s="231"/>
      <c r="H53" s="231"/>
      <c r="I53" s="232"/>
      <c r="J53" s="82"/>
      <c r="K53" s="83"/>
      <c r="L53" s="250" t="s">
        <v>29</v>
      </c>
      <c r="M53" s="251"/>
      <c r="N53" s="163"/>
      <c r="O53" s="164">
        <v>0</v>
      </c>
    </row>
    <row r="54" spans="1:18" ht="45" customHeight="1" thickBot="1" x14ac:dyDescent="0.8">
      <c r="A54" s="233"/>
      <c r="B54" s="234"/>
      <c r="C54" s="234"/>
      <c r="D54" s="234"/>
      <c r="E54" s="234"/>
      <c r="F54" s="234"/>
      <c r="G54" s="234"/>
      <c r="H54" s="234"/>
      <c r="I54" s="232"/>
      <c r="J54" s="241" t="s">
        <v>27</v>
      </c>
      <c r="K54" s="242"/>
      <c r="L54" s="242"/>
      <c r="M54" s="243"/>
      <c r="N54" s="165">
        <v>0.15</v>
      </c>
      <c r="O54" s="166">
        <f>O49*N54</f>
        <v>134.54999999999998</v>
      </c>
    </row>
    <row r="55" spans="1:18" ht="29.25" customHeight="1" x14ac:dyDescent="0.65">
      <c r="A55" s="233"/>
      <c r="B55" s="234"/>
      <c r="C55" s="234"/>
      <c r="D55" s="234"/>
      <c r="E55" s="234"/>
      <c r="F55" s="234"/>
      <c r="G55" s="234"/>
      <c r="H55" s="234"/>
      <c r="I55" s="232"/>
      <c r="J55" s="244" t="s">
        <v>28</v>
      </c>
      <c r="K55" s="245"/>
      <c r="L55" s="246"/>
      <c r="M55" s="245"/>
      <c r="N55" s="247"/>
      <c r="O55" s="224">
        <f>O49+O52-O53-O54</f>
        <v>762.44999999999993</v>
      </c>
    </row>
    <row r="56" spans="1:18" ht="15.75" customHeight="1" thickBot="1" x14ac:dyDescent="0.8">
      <c r="A56" s="235"/>
      <c r="B56" s="236"/>
      <c r="C56" s="236"/>
      <c r="D56" s="236"/>
      <c r="E56" s="236"/>
      <c r="F56" s="236"/>
      <c r="G56" s="236"/>
      <c r="H56" s="236"/>
      <c r="I56" s="237"/>
      <c r="J56" s="248"/>
      <c r="K56" s="249"/>
      <c r="L56" s="246"/>
      <c r="M56" s="249"/>
      <c r="N56" s="246"/>
      <c r="O56" s="225"/>
    </row>
    <row r="57" spans="1:18" ht="15.5" x14ac:dyDescent="0.7">
      <c r="N57" s="86"/>
      <c r="O57" s="86"/>
    </row>
    <row r="58" spans="1:18" ht="15.5" x14ac:dyDescent="0.7">
      <c r="N58" s="86"/>
      <c r="O58" s="86"/>
    </row>
    <row r="59" spans="1:18" ht="15.5" x14ac:dyDescent="0.7">
      <c r="N59" s="86"/>
      <c r="O59" s="86"/>
    </row>
    <row r="60" spans="1:18" ht="15.5" x14ac:dyDescent="0.7">
      <c r="N60" s="86"/>
      <c r="O60" s="86"/>
    </row>
    <row r="61" spans="1:18" ht="15.5" x14ac:dyDescent="0.7">
      <c r="N61" s="86"/>
      <c r="O61" s="86"/>
    </row>
    <row r="62" spans="1:18" ht="15.5" x14ac:dyDescent="0.7">
      <c r="N62" s="86"/>
      <c r="O62" s="86"/>
    </row>
    <row r="63" spans="1:18" ht="15.5" x14ac:dyDescent="0.7">
      <c r="N63" s="86"/>
      <c r="O63" s="86"/>
    </row>
    <row r="64" spans="1:18" ht="15.5" x14ac:dyDescent="0.7">
      <c r="N64" s="86"/>
      <c r="O64" s="86"/>
    </row>
    <row r="65" spans="14:15" ht="15.5" x14ac:dyDescent="0.7">
      <c r="N65" s="86"/>
      <c r="O65" s="86"/>
    </row>
    <row r="66" spans="14:15" ht="15.5" x14ac:dyDescent="0.7">
      <c r="N66" s="86"/>
      <c r="O66" s="86"/>
    </row>
    <row r="67" spans="14:15" ht="15.5" x14ac:dyDescent="0.7">
      <c r="N67" s="86"/>
      <c r="O67" s="86"/>
    </row>
    <row r="68" spans="14:15" ht="15.5" x14ac:dyDescent="0.7">
      <c r="N68" s="86"/>
      <c r="O68" s="86"/>
    </row>
    <row r="69" spans="14:15" ht="15.5" x14ac:dyDescent="0.7">
      <c r="N69" s="86"/>
      <c r="O69" s="86"/>
    </row>
    <row r="70" spans="14:15" ht="15.5" x14ac:dyDescent="0.7">
      <c r="N70" s="86"/>
      <c r="O70" s="86"/>
    </row>
    <row r="71" spans="14:15" ht="15.5" x14ac:dyDescent="0.7">
      <c r="N71" s="86"/>
      <c r="O71" s="86"/>
    </row>
    <row r="72" spans="14:15" ht="15.5" x14ac:dyDescent="0.7">
      <c r="N72" s="86"/>
      <c r="O72" s="86"/>
    </row>
    <row r="73" spans="14:15" ht="15.5" x14ac:dyDescent="0.7">
      <c r="N73" s="86"/>
      <c r="O73" s="86"/>
    </row>
    <row r="74" spans="14:15" ht="15.5" x14ac:dyDescent="0.7">
      <c r="N74" s="86"/>
      <c r="O74" s="86"/>
    </row>
    <row r="75" spans="14:15" ht="15.5" x14ac:dyDescent="0.7">
      <c r="N75" s="86"/>
      <c r="O75" s="86"/>
    </row>
    <row r="76" spans="14:15" ht="15.5" x14ac:dyDescent="0.7">
      <c r="N76" s="86"/>
      <c r="O76" s="86"/>
    </row>
    <row r="77" spans="14:15" ht="15.5" x14ac:dyDescent="0.7">
      <c r="N77" s="86"/>
      <c r="O77" s="86"/>
    </row>
    <row r="78" spans="14:15" ht="15.5" x14ac:dyDescent="0.7">
      <c r="N78" s="86"/>
      <c r="O78" s="86"/>
    </row>
    <row r="79" spans="14:15" ht="15.5" x14ac:dyDescent="0.7">
      <c r="N79" s="86"/>
      <c r="O79" s="86"/>
    </row>
    <row r="80" spans="14:15" ht="15.5" x14ac:dyDescent="0.7">
      <c r="N80" s="86"/>
      <c r="O80" s="86"/>
    </row>
    <row r="81" spans="14:15" ht="15.5" x14ac:dyDescent="0.7">
      <c r="N81" s="86"/>
      <c r="O81" s="86"/>
    </row>
    <row r="82" spans="14:15" ht="15.5" x14ac:dyDescent="0.7">
      <c r="N82" s="86"/>
      <c r="O82" s="86"/>
    </row>
    <row r="83" spans="14:15" ht="15.5" x14ac:dyDescent="0.7">
      <c r="N83" s="86"/>
      <c r="O83" s="86"/>
    </row>
    <row r="84" spans="14:15" ht="15.5" x14ac:dyDescent="0.7">
      <c r="N84" s="86"/>
      <c r="O84" s="86"/>
    </row>
    <row r="85" spans="14:15" ht="15.5" x14ac:dyDescent="0.7">
      <c r="N85" s="86"/>
      <c r="O85" s="86"/>
    </row>
    <row r="86" spans="14:15" ht="15.5" x14ac:dyDescent="0.7">
      <c r="N86" s="86"/>
      <c r="O86" s="86"/>
    </row>
    <row r="87" spans="14:15" ht="15.5" x14ac:dyDescent="0.7">
      <c r="N87" s="86"/>
      <c r="O87" s="86"/>
    </row>
    <row r="88" spans="14:15" ht="15.5" x14ac:dyDescent="0.7">
      <c r="N88" s="86"/>
      <c r="O88" s="86"/>
    </row>
    <row r="89" spans="14:15" ht="15.5" x14ac:dyDescent="0.7">
      <c r="N89" s="86"/>
      <c r="O89" s="86"/>
    </row>
    <row r="90" spans="14:15" ht="15.5" x14ac:dyDescent="0.7">
      <c r="N90" s="86"/>
      <c r="O90" s="86"/>
    </row>
    <row r="91" spans="14:15" ht="15.5" x14ac:dyDescent="0.7">
      <c r="N91" s="86"/>
      <c r="O91" s="86"/>
    </row>
    <row r="92" spans="14:15" ht="15.5" x14ac:dyDescent="0.7">
      <c r="N92" s="86"/>
      <c r="O92" s="86"/>
    </row>
    <row r="93" spans="14:15" ht="15.5" x14ac:dyDescent="0.7">
      <c r="N93" s="86"/>
      <c r="O93" s="86"/>
    </row>
    <row r="94" spans="14:15" ht="15.5" x14ac:dyDescent="0.7">
      <c r="N94" s="86"/>
      <c r="O94" s="86"/>
    </row>
    <row r="95" spans="14:15" ht="15.5" x14ac:dyDescent="0.7">
      <c r="N95" s="86"/>
      <c r="O95" s="86"/>
    </row>
    <row r="96" spans="14:15" ht="15.5" x14ac:dyDescent="0.7">
      <c r="N96" s="86"/>
      <c r="O96" s="86"/>
    </row>
    <row r="97" spans="14:15" ht="15.5" x14ac:dyDescent="0.7">
      <c r="N97" s="86"/>
      <c r="O97" s="86"/>
    </row>
    <row r="98" spans="14:15" ht="15.5" x14ac:dyDescent="0.7">
      <c r="N98" s="86"/>
      <c r="O98" s="86"/>
    </row>
    <row r="99" spans="14:15" ht="15.5" x14ac:dyDescent="0.7">
      <c r="N99" s="86"/>
      <c r="O99" s="86"/>
    </row>
    <row r="100" spans="14:15" ht="15.5" x14ac:dyDescent="0.7">
      <c r="N100" s="86"/>
      <c r="O100" s="86"/>
    </row>
    <row r="101" spans="14:15" ht="15.5" x14ac:dyDescent="0.7">
      <c r="N101" s="86"/>
      <c r="O101" s="86"/>
    </row>
    <row r="102" spans="14:15" ht="15.5" x14ac:dyDescent="0.7">
      <c r="N102" s="86"/>
      <c r="O102" s="86"/>
    </row>
    <row r="103" spans="14:15" ht="15.5" x14ac:dyDescent="0.7">
      <c r="N103" s="86"/>
      <c r="O103" s="86"/>
    </row>
    <row r="104" spans="14:15" ht="15.5" x14ac:dyDescent="0.7">
      <c r="N104" s="86"/>
      <c r="O104" s="86"/>
    </row>
    <row r="105" spans="14:15" ht="15.5" x14ac:dyDescent="0.7">
      <c r="N105" s="86"/>
      <c r="O105" s="86"/>
    </row>
    <row r="106" spans="14:15" ht="15.5" x14ac:dyDescent="0.7">
      <c r="N106" s="86"/>
      <c r="O106" s="86"/>
    </row>
    <row r="107" spans="14:15" ht="15.5" x14ac:dyDescent="0.7">
      <c r="N107" s="86"/>
      <c r="O107" s="86"/>
    </row>
    <row r="108" spans="14:15" ht="15.5" x14ac:dyDescent="0.7">
      <c r="N108" s="86"/>
      <c r="O108" s="86"/>
    </row>
    <row r="109" spans="14:15" ht="15.5" x14ac:dyDescent="0.7">
      <c r="N109" s="86"/>
      <c r="O109" s="86"/>
    </row>
    <row r="110" spans="14:15" ht="15.5" x14ac:dyDescent="0.7">
      <c r="N110" s="86"/>
      <c r="O110" s="86"/>
    </row>
    <row r="111" spans="14:15" ht="15.5" x14ac:dyDescent="0.7">
      <c r="N111" s="86"/>
      <c r="O111" s="86"/>
    </row>
    <row r="112" spans="14:15" ht="15.5" x14ac:dyDescent="0.7">
      <c r="N112" s="86"/>
      <c r="O112" s="86"/>
    </row>
    <row r="113" spans="14:15" ht="15.5" x14ac:dyDescent="0.7">
      <c r="N113" s="86"/>
      <c r="O113" s="86"/>
    </row>
    <row r="114" spans="14:15" ht="15.5" x14ac:dyDescent="0.7">
      <c r="N114" s="86"/>
      <c r="O114" s="86"/>
    </row>
    <row r="115" spans="14:15" ht="15.5" x14ac:dyDescent="0.7">
      <c r="N115" s="86"/>
      <c r="O115" s="86"/>
    </row>
    <row r="116" spans="14:15" ht="15.5" x14ac:dyDescent="0.7">
      <c r="N116" s="86"/>
      <c r="O116" s="86"/>
    </row>
    <row r="117" spans="14:15" ht="15.5" x14ac:dyDescent="0.7">
      <c r="N117" s="86"/>
      <c r="O117" s="86"/>
    </row>
    <row r="118" spans="14:15" ht="15.5" x14ac:dyDescent="0.7">
      <c r="N118" s="86"/>
      <c r="O118" s="86"/>
    </row>
    <row r="119" spans="14:15" ht="15.5" x14ac:dyDescent="0.7">
      <c r="N119" s="86"/>
      <c r="O119" s="86"/>
    </row>
    <row r="120" spans="14:15" ht="15.5" x14ac:dyDescent="0.7">
      <c r="N120" s="86"/>
      <c r="O120" s="86"/>
    </row>
    <row r="121" spans="14:15" ht="15.5" x14ac:dyDescent="0.7">
      <c r="N121" s="86"/>
      <c r="O121" s="86"/>
    </row>
    <row r="122" spans="14:15" ht="15.5" x14ac:dyDescent="0.7">
      <c r="N122" s="86"/>
      <c r="O122" s="86"/>
    </row>
    <row r="123" spans="14:15" ht="15.5" x14ac:dyDescent="0.7">
      <c r="N123" s="86"/>
      <c r="O123" s="86"/>
    </row>
    <row r="124" spans="14:15" ht="15.5" x14ac:dyDescent="0.7">
      <c r="N124" s="86"/>
      <c r="O124" s="86"/>
    </row>
    <row r="125" spans="14:15" ht="15.5" x14ac:dyDescent="0.7">
      <c r="N125" s="86"/>
      <c r="O125" s="86"/>
    </row>
    <row r="126" spans="14:15" ht="15.5" x14ac:dyDescent="0.7">
      <c r="N126" s="86"/>
      <c r="O126" s="86"/>
    </row>
    <row r="127" spans="14:15" ht="15.5" x14ac:dyDescent="0.7">
      <c r="N127" s="86"/>
      <c r="O127" s="86"/>
    </row>
    <row r="128" spans="14:15" ht="15.5" x14ac:dyDescent="0.7">
      <c r="N128" s="86"/>
      <c r="O128" s="86"/>
    </row>
    <row r="129" spans="14:15" ht="15.5" x14ac:dyDescent="0.7">
      <c r="N129" s="86"/>
      <c r="O129" s="86"/>
    </row>
    <row r="130" spans="14:15" ht="15.5" x14ac:dyDescent="0.7">
      <c r="N130" s="86"/>
      <c r="O130" s="86"/>
    </row>
    <row r="131" spans="14:15" ht="15.5" x14ac:dyDescent="0.7">
      <c r="N131" s="86"/>
      <c r="O131" s="86"/>
    </row>
    <row r="132" spans="14:15" ht="15.5" x14ac:dyDescent="0.7">
      <c r="N132" s="86"/>
      <c r="O132" s="86"/>
    </row>
    <row r="133" spans="14:15" ht="15.5" x14ac:dyDescent="0.7">
      <c r="N133" s="86"/>
      <c r="O133" s="86"/>
    </row>
    <row r="134" spans="14:15" ht="15.5" x14ac:dyDescent="0.7">
      <c r="N134" s="86"/>
      <c r="O134" s="86"/>
    </row>
    <row r="135" spans="14:15" ht="15.5" x14ac:dyDescent="0.7">
      <c r="N135" s="86"/>
      <c r="O135" s="86"/>
    </row>
    <row r="136" spans="14:15" ht="15.5" x14ac:dyDescent="0.7">
      <c r="N136" s="86"/>
      <c r="O136" s="86"/>
    </row>
    <row r="137" spans="14:15" ht="15.5" x14ac:dyDescent="0.7">
      <c r="N137" s="86"/>
      <c r="O137" s="86"/>
    </row>
    <row r="138" spans="14:15" ht="15.5" x14ac:dyDescent="0.7">
      <c r="N138" s="86"/>
      <c r="O138" s="86"/>
    </row>
    <row r="139" spans="14:15" ht="15.5" x14ac:dyDescent="0.7">
      <c r="N139" s="86"/>
      <c r="O139" s="86"/>
    </row>
    <row r="140" spans="14:15" ht="15.5" x14ac:dyDescent="0.7">
      <c r="N140" s="86"/>
      <c r="O140" s="86"/>
    </row>
    <row r="141" spans="14:15" ht="15.5" x14ac:dyDescent="0.7">
      <c r="N141" s="86"/>
      <c r="O141" s="86"/>
    </row>
    <row r="142" spans="14:15" ht="15.5" x14ac:dyDescent="0.7">
      <c r="N142" s="86"/>
      <c r="O142" s="86"/>
    </row>
    <row r="143" spans="14:15" ht="15.5" x14ac:dyDescent="0.7">
      <c r="N143" s="86"/>
      <c r="O143" s="86"/>
    </row>
    <row r="144" spans="14:15" ht="15.5" x14ac:dyDescent="0.7">
      <c r="N144" s="86"/>
      <c r="O144" s="86"/>
    </row>
    <row r="145" spans="14:15" ht="15.5" x14ac:dyDescent="0.7">
      <c r="N145" s="86"/>
      <c r="O145" s="86"/>
    </row>
    <row r="146" spans="14:15" ht="15.5" x14ac:dyDescent="0.7">
      <c r="N146" s="86"/>
      <c r="O146" s="86"/>
    </row>
    <row r="147" spans="14:15" ht="15.5" x14ac:dyDescent="0.7">
      <c r="N147" s="86"/>
      <c r="O147" s="86"/>
    </row>
    <row r="148" spans="14:15" ht="15.5" x14ac:dyDescent="0.7">
      <c r="N148" s="86"/>
      <c r="O148" s="86"/>
    </row>
    <row r="149" spans="14:15" ht="15.5" x14ac:dyDescent="0.7">
      <c r="N149" s="86"/>
      <c r="O149" s="86"/>
    </row>
    <row r="150" spans="14:15" ht="15.5" x14ac:dyDescent="0.7">
      <c r="N150" s="86"/>
      <c r="O150" s="86"/>
    </row>
    <row r="151" spans="14:15" ht="15.5" x14ac:dyDescent="0.7">
      <c r="N151" s="86"/>
      <c r="O151" s="86"/>
    </row>
    <row r="152" spans="14:15" ht="15.5" x14ac:dyDescent="0.7">
      <c r="N152" s="86"/>
      <c r="O152" s="86"/>
    </row>
    <row r="153" spans="14:15" ht="15.5" x14ac:dyDescent="0.7">
      <c r="N153" s="86"/>
      <c r="O153" s="86"/>
    </row>
    <row r="154" spans="14:15" ht="15.5" x14ac:dyDescent="0.7">
      <c r="N154" s="86"/>
      <c r="O154" s="86"/>
    </row>
    <row r="155" spans="14:15" ht="15.5" x14ac:dyDescent="0.7">
      <c r="N155" s="86"/>
      <c r="O155" s="86"/>
    </row>
    <row r="156" spans="14:15" ht="15.5" x14ac:dyDescent="0.7">
      <c r="N156" s="86"/>
      <c r="O156" s="86"/>
    </row>
    <row r="157" spans="14:15" ht="15.5" x14ac:dyDescent="0.7">
      <c r="N157" s="86"/>
      <c r="O157" s="86"/>
    </row>
    <row r="158" spans="14:15" ht="15.5" x14ac:dyDescent="0.7">
      <c r="N158" s="86"/>
      <c r="O158" s="86"/>
    </row>
    <row r="159" spans="14:15" ht="15.5" x14ac:dyDescent="0.7">
      <c r="N159" s="86"/>
      <c r="O159" s="86"/>
    </row>
    <row r="160" spans="14:15" ht="15.5" x14ac:dyDescent="0.7">
      <c r="N160" s="86"/>
      <c r="O160" s="86"/>
    </row>
    <row r="161" spans="14:15" ht="15.5" x14ac:dyDescent="0.7">
      <c r="N161" s="86"/>
      <c r="O161" s="86"/>
    </row>
    <row r="162" spans="14:15" ht="15.5" x14ac:dyDescent="0.7">
      <c r="N162" s="86"/>
      <c r="O162" s="86"/>
    </row>
    <row r="163" spans="14:15" ht="15.5" x14ac:dyDescent="0.7">
      <c r="N163" s="86"/>
      <c r="O163" s="86"/>
    </row>
    <row r="164" spans="14:15" ht="15.5" x14ac:dyDescent="0.7">
      <c r="N164" s="86"/>
      <c r="O164" s="86"/>
    </row>
    <row r="165" spans="14:15" ht="15.5" x14ac:dyDescent="0.7">
      <c r="N165" s="86"/>
      <c r="O165" s="86"/>
    </row>
    <row r="166" spans="14:15" ht="15.5" x14ac:dyDescent="0.7">
      <c r="N166" s="86"/>
      <c r="O166" s="86"/>
    </row>
    <row r="167" spans="14:15" ht="15.5" x14ac:dyDescent="0.7">
      <c r="N167" s="86"/>
      <c r="O167" s="86"/>
    </row>
    <row r="168" spans="14:15" ht="15.5" x14ac:dyDescent="0.7">
      <c r="N168" s="86"/>
      <c r="O168" s="86"/>
    </row>
    <row r="169" spans="14:15" ht="15.5" x14ac:dyDescent="0.7">
      <c r="N169" s="86"/>
      <c r="O169" s="86"/>
    </row>
    <row r="170" spans="14:15" ht="15.5" x14ac:dyDescent="0.7">
      <c r="N170" s="86"/>
      <c r="O170" s="86"/>
    </row>
    <row r="171" spans="14:15" ht="15.5" x14ac:dyDescent="0.7">
      <c r="N171" s="86"/>
      <c r="O171" s="86"/>
    </row>
    <row r="172" spans="14:15" ht="15.5" x14ac:dyDescent="0.7">
      <c r="N172" s="86"/>
      <c r="O172" s="86"/>
    </row>
    <row r="173" spans="14:15" ht="15.5" x14ac:dyDescent="0.7">
      <c r="N173" s="86"/>
      <c r="O173" s="86"/>
    </row>
    <row r="174" spans="14:15" ht="15.5" x14ac:dyDescent="0.7">
      <c r="N174" s="86"/>
      <c r="O174" s="86"/>
    </row>
    <row r="175" spans="14:15" ht="15.5" x14ac:dyDescent="0.7">
      <c r="N175" s="86"/>
      <c r="O175" s="86"/>
    </row>
    <row r="176" spans="14:15" ht="15.5" x14ac:dyDescent="0.7">
      <c r="N176" s="86"/>
      <c r="O176" s="86"/>
    </row>
    <row r="177" spans="14:15" ht="15.5" x14ac:dyDescent="0.7">
      <c r="N177" s="86"/>
      <c r="O177" s="86"/>
    </row>
    <row r="178" spans="14:15" ht="15.5" x14ac:dyDescent="0.7">
      <c r="N178" s="86"/>
      <c r="O178" s="86"/>
    </row>
    <row r="179" spans="14:15" ht="15.5" x14ac:dyDescent="0.7">
      <c r="N179" s="86"/>
      <c r="O179" s="86"/>
    </row>
    <row r="180" spans="14:15" ht="15.5" x14ac:dyDescent="0.7">
      <c r="N180" s="86"/>
      <c r="O180" s="86"/>
    </row>
    <row r="181" spans="14:15" ht="15.5" x14ac:dyDescent="0.7">
      <c r="N181" s="86"/>
      <c r="O181" s="86"/>
    </row>
    <row r="182" spans="14:15" ht="15.5" x14ac:dyDescent="0.7">
      <c r="N182" s="86"/>
      <c r="O182" s="86"/>
    </row>
    <row r="183" spans="14:15" ht="15.5" x14ac:dyDescent="0.7">
      <c r="N183" s="86"/>
      <c r="O183" s="86"/>
    </row>
    <row r="184" spans="14:15" ht="15.5" x14ac:dyDescent="0.7">
      <c r="N184" s="86"/>
      <c r="O184" s="86"/>
    </row>
    <row r="185" spans="14:15" ht="15.5" x14ac:dyDescent="0.7">
      <c r="N185" s="86"/>
      <c r="O185" s="86"/>
    </row>
    <row r="186" spans="14:15" ht="15.5" x14ac:dyDescent="0.7">
      <c r="N186" s="86"/>
      <c r="O186" s="86"/>
    </row>
    <row r="187" spans="14:15" ht="15.5" x14ac:dyDescent="0.7">
      <c r="N187" s="86"/>
      <c r="O187" s="86"/>
    </row>
    <row r="188" spans="14:15" ht="15.5" x14ac:dyDescent="0.7">
      <c r="N188" s="86"/>
      <c r="O188" s="86"/>
    </row>
    <row r="189" spans="14:15" ht="15.5" x14ac:dyDescent="0.7">
      <c r="N189" s="86"/>
      <c r="O189" s="86"/>
    </row>
    <row r="190" spans="14:15" ht="15.5" x14ac:dyDescent="0.7">
      <c r="N190" s="86"/>
      <c r="O190" s="86"/>
    </row>
    <row r="191" spans="14:15" ht="15.5" x14ac:dyDescent="0.7">
      <c r="N191" s="86"/>
      <c r="O191" s="86"/>
    </row>
    <row r="192" spans="14:15" ht="15.5" x14ac:dyDescent="0.7">
      <c r="N192" s="86"/>
      <c r="O192" s="86"/>
    </row>
    <row r="193" spans="14:15" ht="15.5" x14ac:dyDescent="0.7">
      <c r="N193" s="86"/>
      <c r="O193" s="86"/>
    </row>
    <row r="194" spans="14:15" ht="15.5" x14ac:dyDescent="0.7">
      <c r="N194" s="86"/>
      <c r="O194" s="86"/>
    </row>
    <row r="195" spans="14:15" ht="15.5" x14ac:dyDescent="0.7">
      <c r="N195" s="86"/>
      <c r="O195" s="86"/>
    </row>
    <row r="196" spans="14:15" ht="15.5" x14ac:dyDescent="0.7">
      <c r="N196" s="86"/>
      <c r="O196" s="86"/>
    </row>
    <row r="197" spans="14:15" ht="15.5" x14ac:dyDescent="0.7">
      <c r="N197" s="86"/>
      <c r="O197" s="86"/>
    </row>
    <row r="198" spans="14:15" ht="15.5" x14ac:dyDescent="0.7">
      <c r="N198" s="86"/>
      <c r="O198" s="86"/>
    </row>
    <row r="199" spans="14:15" ht="15.5" x14ac:dyDescent="0.7">
      <c r="N199" s="86"/>
      <c r="O199" s="86"/>
    </row>
    <row r="200" spans="14:15" ht="15.5" x14ac:dyDescent="0.7">
      <c r="N200" s="86"/>
      <c r="O200" s="86"/>
    </row>
    <row r="201" spans="14:15" ht="15.5" x14ac:dyDescent="0.7">
      <c r="N201" s="86"/>
      <c r="O201" s="86"/>
    </row>
    <row r="202" spans="14:15" ht="15.5" x14ac:dyDescent="0.7">
      <c r="N202" s="86"/>
      <c r="O202" s="86"/>
    </row>
    <row r="203" spans="14:15" ht="15.5" x14ac:dyDescent="0.7">
      <c r="N203" s="86"/>
      <c r="O203" s="86"/>
    </row>
    <row r="204" spans="14:15" ht="15.5" x14ac:dyDescent="0.7">
      <c r="N204" s="86"/>
      <c r="O204" s="86"/>
    </row>
    <row r="205" spans="14:15" ht="15.5" x14ac:dyDescent="0.7">
      <c r="N205" s="86"/>
      <c r="O205" s="86"/>
    </row>
    <row r="206" spans="14:15" ht="15.5" x14ac:dyDescent="0.7">
      <c r="N206" s="86"/>
      <c r="O206" s="86"/>
    </row>
    <row r="207" spans="14:15" ht="15.5" x14ac:dyDescent="0.7">
      <c r="N207" s="86"/>
      <c r="O207" s="86"/>
    </row>
    <row r="208" spans="14:15" ht="15.5" x14ac:dyDescent="0.7">
      <c r="N208" s="86"/>
      <c r="O208" s="86"/>
    </row>
    <row r="209" spans="14:15" ht="15.5" x14ac:dyDescent="0.7">
      <c r="N209" s="86"/>
      <c r="O209" s="86"/>
    </row>
    <row r="210" spans="14:15" ht="15.5" x14ac:dyDescent="0.7">
      <c r="N210" s="86"/>
      <c r="O210" s="86"/>
    </row>
    <row r="211" spans="14:15" ht="15.5" x14ac:dyDescent="0.7">
      <c r="N211" s="86"/>
      <c r="O211" s="86"/>
    </row>
    <row r="212" spans="14:15" ht="15.5" x14ac:dyDescent="0.7">
      <c r="N212" s="86"/>
      <c r="O212" s="86"/>
    </row>
    <row r="213" spans="14:15" ht="15.5" x14ac:dyDescent="0.7">
      <c r="N213" s="86"/>
      <c r="O213" s="86"/>
    </row>
    <row r="214" spans="14:15" ht="15.5" x14ac:dyDescent="0.7">
      <c r="N214" s="86"/>
      <c r="O214" s="86"/>
    </row>
    <row r="215" spans="14:15" ht="15.5" x14ac:dyDescent="0.7">
      <c r="N215" s="86"/>
      <c r="O215" s="86"/>
    </row>
    <row r="216" spans="14:15" ht="15.5" x14ac:dyDescent="0.7">
      <c r="N216" s="86"/>
      <c r="O216" s="86"/>
    </row>
    <row r="217" spans="14:15" ht="15.5" x14ac:dyDescent="0.7">
      <c r="N217" s="86"/>
      <c r="O217" s="86"/>
    </row>
    <row r="218" spans="14:15" ht="15.5" x14ac:dyDescent="0.7">
      <c r="N218" s="86"/>
      <c r="O218" s="86"/>
    </row>
    <row r="219" spans="14:15" ht="15.5" x14ac:dyDescent="0.7">
      <c r="N219" s="86"/>
      <c r="O219" s="86"/>
    </row>
    <row r="220" spans="14:15" ht="15.5" x14ac:dyDescent="0.7">
      <c r="N220" s="86"/>
      <c r="O220" s="86"/>
    </row>
    <row r="221" spans="14:15" ht="15.5" x14ac:dyDescent="0.7">
      <c r="N221" s="86"/>
      <c r="O221" s="86"/>
    </row>
    <row r="222" spans="14:15" ht="15.5" x14ac:dyDescent="0.7">
      <c r="N222" s="86"/>
      <c r="O222" s="86"/>
    </row>
    <row r="223" spans="14:15" ht="15.5" x14ac:dyDescent="0.7">
      <c r="N223" s="86"/>
      <c r="O223" s="86"/>
    </row>
    <row r="224" spans="14:15" ht="15.5" x14ac:dyDescent="0.7">
      <c r="N224" s="86"/>
      <c r="O224" s="86"/>
    </row>
    <row r="225" spans="14:15" ht="15.5" x14ac:dyDescent="0.7">
      <c r="N225" s="86"/>
      <c r="O225" s="86"/>
    </row>
    <row r="226" spans="14:15" ht="15.5" x14ac:dyDescent="0.7">
      <c r="N226" s="86"/>
      <c r="O226" s="86"/>
    </row>
    <row r="227" spans="14:15" ht="15.5" x14ac:dyDescent="0.7">
      <c r="N227" s="86"/>
      <c r="O227" s="86"/>
    </row>
    <row r="228" spans="14:15" ht="15.5" x14ac:dyDescent="0.7">
      <c r="N228" s="86"/>
      <c r="O228" s="86"/>
    </row>
    <row r="229" spans="14:15" ht="15.5" x14ac:dyDescent="0.7">
      <c r="N229" s="86"/>
      <c r="O229" s="86"/>
    </row>
    <row r="230" spans="14:15" ht="15.5" x14ac:dyDescent="0.7">
      <c r="N230" s="86"/>
      <c r="O230" s="86"/>
    </row>
    <row r="231" spans="14:15" ht="15.5" x14ac:dyDescent="0.7">
      <c r="N231" s="86"/>
      <c r="O231" s="86"/>
    </row>
    <row r="232" spans="14:15" ht="15.5" x14ac:dyDescent="0.7">
      <c r="N232" s="86"/>
      <c r="O232" s="86"/>
    </row>
    <row r="233" spans="14:15" ht="15.5" x14ac:dyDescent="0.7">
      <c r="N233" s="86"/>
      <c r="O233" s="86"/>
    </row>
    <row r="234" spans="14:15" ht="15.5" x14ac:dyDescent="0.7">
      <c r="N234" s="86"/>
      <c r="O234" s="86"/>
    </row>
    <row r="235" spans="14:15" ht="15.5" x14ac:dyDescent="0.7">
      <c r="N235" s="86"/>
      <c r="O235" s="86"/>
    </row>
    <row r="236" spans="14:15" ht="15.5" x14ac:dyDescent="0.7">
      <c r="N236" s="86"/>
      <c r="O236" s="86"/>
    </row>
    <row r="237" spans="14:15" ht="15.5" x14ac:dyDescent="0.7">
      <c r="N237" s="86"/>
      <c r="O237" s="86"/>
    </row>
    <row r="238" spans="14:15" ht="15.5" x14ac:dyDescent="0.7">
      <c r="N238" s="86"/>
      <c r="O238" s="86"/>
    </row>
    <row r="239" spans="14:15" ht="15.5" x14ac:dyDescent="0.7">
      <c r="N239" s="86"/>
      <c r="O239" s="86"/>
    </row>
    <row r="240" spans="14:15" ht="15.5" x14ac:dyDescent="0.7">
      <c r="N240" s="86"/>
      <c r="O240" s="86"/>
    </row>
    <row r="241" spans="14:15" ht="15.5" x14ac:dyDescent="0.7">
      <c r="N241" s="86"/>
      <c r="O241" s="86"/>
    </row>
    <row r="242" spans="14:15" ht="15.5" x14ac:dyDescent="0.7">
      <c r="N242" s="86"/>
      <c r="O242" s="86"/>
    </row>
    <row r="243" spans="14:15" ht="15.5" x14ac:dyDescent="0.7">
      <c r="N243" s="86"/>
      <c r="O243" s="86"/>
    </row>
    <row r="244" spans="14:15" ht="15.5" x14ac:dyDescent="0.7">
      <c r="N244" s="86"/>
      <c r="O244" s="86"/>
    </row>
    <row r="245" spans="14:15" ht="15.5" x14ac:dyDescent="0.7">
      <c r="N245" s="86"/>
      <c r="O245" s="86"/>
    </row>
    <row r="246" spans="14:15" ht="15.5" x14ac:dyDescent="0.7">
      <c r="N246" s="86"/>
      <c r="O246" s="86"/>
    </row>
    <row r="247" spans="14:15" ht="15.5" x14ac:dyDescent="0.7">
      <c r="N247" s="86"/>
      <c r="O247" s="86"/>
    </row>
    <row r="248" spans="14:15" ht="15.5" x14ac:dyDescent="0.7">
      <c r="N248" s="86"/>
      <c r="O248" s="86"/>
    </row>
    <row r="249" spans="14:15" ht="15.5" x14ac:dyDescent="0.7">
      <c r="N249" s="86"/>
      <c r="O249" s="86"/>
    </row>
    <row r="250" spans="14:15" ht="15.5" x14ac:dyDescent="0.7">
      <c r="N250" s="86"/>
      <c r="O250" s="86"/>
    </row>
    <row r="251" spans="14:15" ht="15.5" x14ac:dyDescent="0.7">
      <c r="N251" s="86"/>
      <c r="O251" s="86"/>
    </row>
    <row r="252" spans="14:15" ht="15.5" x14ac:dyDescent="0.7">
      <c r="N252" s="86"/>
      <c r="O252" s="86"/>
    </row>
    <row r="253" spans="14:15" ht="15.5" x14ac:dyDescent="0.7">
      <c r="N253" s="86"/>
      <c r="O253" s="86"/>
    </row>
    <row r="254" spans="14:15" ht="15.5" x14ac:dyDescent="0.7">
      <c r="N254" s="86"/>
      <c r="O254" s="86"/>
    </row>
    <row r="255" spans="14:15" ht="15.5" x14ac:dyDescent="0.7">
      <c r="N255" s="86"/>
      <c r="O255" s="86"/>
    </row>
    <row r="256" spans="14:15" ht="15.5" x14ac:dyDescent="0.7">
      <c r="N256" s="86"/>
      <c r="O256" s="86"/>
    </row>
    <row r="257" spans="14:15" ht="15.5" x14ac:dyDescent="0.7">
      <c r="N257" s="86"/>
      <c r="O257" s="86"/>
    </row>
    <row r="258" spans="14:15" ht="15.5" x14ac:dyDescent="0.7">
      <c r="N258" s="86"/>
      <c r="O258" s="86"/>
    </row>
    <row r="259" spans="14:15" ht="15.5" x14ac:dyDescent="0.7">
      <c r="N259" s="86"/>
      <c r="O259" s="86"/>
    </row>
    <row r="260" spans="14:15" ht="15.5" x14ac:dyDescent="0.7">
      <c r="N260" s="86"/>
      <c r="O260" s="86"/>
    </row>
    <row r="261" spans="14:15" ht="15.5" x14ac:dyDescent="0.7">
      <c r="N261" s="86"/>
      <c r="O261" s="86"/>
    </row>
    <row r="262" spans="14:15" ht="15.5" x14ac:dyDescent="0.7">
      <c r="N262" s="86"/>
      <c r="O262" s="86"/>
    </row>
    <row r="263" spans="14:15" ht="15.5" x14ac:dyDescent="0.7">
      <c r="N263" s="86"/>
      <c r="O263" s="86"/>
    </row>
    <row r="264" spans="14:15" ht="15.5" x14ac:dyDescent="0.7">
      <c r="N264" s="86"/>
      <c r="O264" s="86"/>
    </row>
    <row r="265" spans="14:15" ht="15.5" x14ac:dyDescent="0.7">
      <c r="N265" s="86"/>
      <c r="O265" s="86"/>
    </row>
    <row r="266" spans="14:15" ht="15.5" x14ac:dyDescent="0.7">
      <c r="N266" s="86"/>
      <c r="O266" s="86"/>
    </row>
    <row r="267" spans="14:15" ht="15.5" x14ac:dyDescent="0.7">
      <c r="N267" s="86"/>
      <c r="O267" s="86"/>
    </row>
    <row r="268" spans="14:15" ht="15.5" x14ac:dyDescent="0.7">
      <c r="N268" s="86"/>
      <c r="O268" s="86"/>
    </row>
    <row r="269" spans="14:15" ht="15.5" x14ac:dyDescent="0.7">
      <c r="N269" s="86"/>
      <c r="O269" s="86"/>
    </row>
    <row r="270" spans="14:15" ht="15.5" x14ac:dyDescent="0.7">
      <c r="N270" s="86"/>
      <c r="O270" s="86"/>
    </row>
    <row r="271" spans="14:15" ht="15.5" x14ac:dyDescent="0.7">
      <c r="N271" s="86"/>
      <c r="O271" s="86"/>
    </row>
    <row r="272" spans="14:15" ht="15.5" x14ac:dyDescent="0.7">
      <c r="N272" s="86"/>
      <c r="O272" s="86"/>
    </row>
    <row r="273" spans="14:15" ht="15.5" x14ac:dyDescent="0.7">
      <c r="N273" s="86"/>
      <c r="O273" s="86"/>
    </row>
    <row r="274" spans="14:15" ht="15.5" x14ac:dyDescent="0.7">
      <c r="N274" s="86"/>
      <c r="O274" s="86"/>
    </row>
    <row r="275" spans="14:15" ht="15.5" x14ac:dyDescent="0.7">
      <c r="N275" s="86"/>
      <c r="O275" s="86"/>
    </row>
    <row r="276" spans="14:15" ht="15.5" x14ac:dyDescent="0.7">
      <c r="N276" s="86"/>
      <c r="O276" s="86"/>
    </row>
    <row r="277" spans="14:15" ht="15.5" x14ac:dyDescent="0.7">
      <c r="N277" s="86"/>
      <c r="O277" s="86"/>
    </row>
    <row r="278" spans="14:15" ht="15.5" x14ac:dyDescent="0.7">
      <c r="N278" s="86"/>
      <c r="O278" s="86"/>
    </row>
    <row r="279" spans="14:15" ht="15.5" x14ac:dyDescent="0.7">
      <c r="N279" s="86"/>
      <c r="O279" s="86"/>
    </row>
    <row r="280" spans="14:15" ht="15.5" x14ac:dyDescent="0.7">
      <c r="N280" s="86"/>
      <c r="O280" s="86"/>
    </row>
    <row r="281" spans="14:15" ht="15.5" x14ac:dyDescent="0.7">
      <c r="N281" s="86"/>
      <c r="O281" s="86"/>
    </row>
    <row r="282" spans="14:15" ht="15.5" x14ac:dyDescent="0.7">
      <c r="N282" s="86"/>
      <c r="O282" s="86"/>
    </row>
    <row r="283" spans="14:15" ht="15.5" x14ac:dyDescent="0.7">
      <c r="N283" s="86"/>
      <c r="O283" s="86"/>
    </row>
    <row r="284" spans="14:15" ht="15.5" x14ac:dyDescent="0.7">
      <c r="N284" s="86"/>
      <c r="O284" s="86"/>
    </row>
    <row r="285" spans="14:15" ht="15.5" x14ac:dyDescent="0.7">
      <c r="N285" s="86"/>
      <c r="O285" s="86"/>
    </row>
    <row r="286" spans="14:15" ht="15.5" x14ac:dyDescent="0.7">
      <c r="N286" s="86"/>
      <c r="O286" s="86"/>
    </row>
    <row r="287" spans="14:15" ht="15.5" x14ac:dyDescent="0.7">
      <c r="N287" s="86"/>
      <c r="O287" s="86"/>
    </row>
    <row r="288" spans="14:15" ht="15.5" x14ac:dyDescent="0.7">
      <c r="N288" s="86"/>
      <c r="O288" s="86"/>
    </row>
    <row r="289" spans="14:15" ht="15.5" x14ac:dyDescent="0.7">
      <c r="N289" s="86"/>
      <c r="O289" s="86"/>
    </row>
    <row r="290" spans="14:15" ht="15.5" x14ac:dyDescent="0.7">
      <c r="N290" s="86"/>
      <c r="O290" s="86"/>
    </row>
    <row r="291" spans="14:15" ht="15.5" x14ac:dyDescent="0.7">
      <c r="N291" s="86"/>
      <c r="O291" s="86"/>
    </row>
    <row r="292" spans="14:15" ht="15.5" x14ac:dyDescent="0.7">
      <c r="N292" s="86"/>
      <c r="O292" s="86"/>
    </row>
    <row r="293" spans="14:15" ht="15.5" x14ac:dyDescent="0.7">
      <c r="N293" s="86"/>
      <c r="O293" s="86"/>
    </row>
    <row r="294" spans="14:15" ht="15.5" x14ac:dyDescent="0.7">
      <c r="N294" s="86"/>
      <c r="O294" s="86"/>
    </row>
    <row r="295" spans="14:15" ht="15.5" x14ac:dyDescent="0.7">
      <c r="N295" s="86"/>
      <c r="O295" s="86"/>
    </row>
    <row r="296" spans="14:15" ht="15.5" x14ac:dyDescent="0.7">
      <c r="N296" s="86"/>
      <c r="O296" s="86"/>
    </row>
    <row r="297" spans="14:15" ht="15.5" x14ac:dyDescent="0.7">
      <c r="N297" s="86"/>
      <c r="O297" s="86"/>
    </row>
    <row r="298" spans="14:15" ht="15.5" x14ac:dyDescent="0.7">
      <c r="N298" s="86"/>
      <c r="O298" s="86"/>
    </row>
    <row r="299" spans="14:15" ht="15.5" x14ac:dyDescent="0.7">
      <c r="N299" s="86"/>
      <c r="O299" s="86"/>
    </row>
    <row r="300" spans="14:15" ht="15.5" x14ac:dyDescent="0.7">
      <c r="N300" s="86"/>
      <c r="O300" s="86"/>
    </row>
    <row r="301" spans="14:15" ht="15.5" x14ac:dyDescent="0.7">
      <c r="N301" s="86"/>
      <c r="O301" s="86"/>
    </row>
    <row r="302" spans="14:15" ht="15.5" x14ac:dyDescent="0.7">
      <c r="N302" s="86"/>
      <c r="O302" s="86"/>
    </row>
    <row r="303" spans="14:15" ht="15.5" x14ac:dyDescent="0.7">
      <c r="N303" s="86"/>
      <c r="O303" s="86"/>
    </row>
    <row r="304" spans="14:15" ht="15.5" x14ac:dyDescent="0.7">
      <c r="N304" s="86"/>
      <c r="O304" s="86"/>
    </row>
    <row r="305" spans="14:15" ht="15.5" x14ac:dyDescent="0.7">
      <c r="N305" s="86"/>
      <c r="O305" s="86"/>
    </row>
    <row r="306" spans="14:15" ht="15.5" x14ac:dyDescent="0.7">
      <c r="N306" s="86"/>
      <c r="O306" s="86"/>
    </row>
    <row r="307" spans="14:15" ht="15.5" x14ac:dyDescent="0.7">
      <c r="N307" s="86"/>
      <c r="O307" s="86"/>
    </row>
    <row r="308" spans="14:15" ht="15.5" x14ac:dyDescent="0.7">
      <c r="N308" s="86"/>
      <c r="O308" s="86"/>
    </row>
    <row r="309" spans="14:15" ht="15.5" x14ac:dyDescent="0.7">
      <c r="N309" s="86"/>
      <c r="O309" s="86"/>
    </row>
    <row r="310" spans="14:15" ht="15.5" x14ac:dyDescent="0.7">
      <c r="N310" s="86"/>
      <c r="O310" s="86"/>
    </row>
    <row r="311" spans="14:15" ht="15.5" x14ac:dyDescent="0.7">
      <c r="N311" s="86"/>
      <c r="O311" s="86"/>
    </row>
    <row r="312" spans="14:15" ht="15.5" x14ac:dyDescent="0.7">
      <c r="N312" s="86"/>
      <c r="O312" s="86"/>
    </row>
    <row r="313" spans="14:15" ht="15.5" x14ac:dyDescent="0.7">
      <c r="N313" s="86"/>
      <c r="O313" s="86"/>
    </row>
    <row r="314" spans="14:15" ht="15.5" x14ac:dyDescent="0.7">
      <c r="N314" s="86"/>
      <c r="O314" s="86"/>
    </row>
    <row r="315" spans="14:15" ht="15.5" x14ac:dyDescent="0.7">
      <c r="N315" s="86"/>
      <c r="O315" s="86"/>
    </row>
    <row r="316" spans="14:15" ht="15.5" x14ac:dyDescent="0.7">
      <c r="N316" s="86"/>
      <c r="O316" s="86"/>
    </row>
    <row r="317" spans="14:15" ht="15.5" x14ac:dyDescent="0.7">
      <c r="N317" s="86"/>
      <c r="O317" s="86"/>
    </row>
    <row r="318" spans="14:15" ht="15.5" x14ac:dyDescent="0.7">
      <c r="N318" s="86"/>
      <c r="O318" s="86"/>
    </row>
    <row r="319" spans="14:15" ht="15.5" x14ac:dyDescent="0.7">
      <c r="N319" s="86"/>
      <c r="O319" s="86"/>
    </row>
    <row r="320" spans="14:15" ht="15.5" x14ac:dyDescent="0.7">
      <c r="N320" s="86"/>
      <c r="O320" s="86"/>
    </row>
    <row r="321" spans="14:15" ht="15.5" x14ac:dyDescent="0.7">
      <c r="N321" s="86"/>
      <c r="O321" s="86"/>
    </row>
    <row r="322" spans="14:15" ht="15.5" x14ac:dyDescent="0.7">
      <c r="N322" s="86"/>
      <c r="O322" s="86"/>
    </row>
    <row r="323" spans="14:15" ht="15.5" x14ac:dyDescent="0.7">
      <c r="N323" s="86"/>
      <c r="O323" s="86"/>
    </row>
    <row r="324" spans="14:15" ht="15.5" x14ac:dyDescent="0.7">
      <c r="N324" s="86"/>
      <c r="O324" s="86"/>
    </row>
    <row r="325" spans="14:15" ht="15.5" x14ac:dyDescent="0.7">
      <c r="N325" s="86"/>
      <c r="O325" s="86"/>
    </row>
    <row r="326" spans="14:15" ht="15.5" x14ac:dyDescent="0.7">
      <c r="N326" s="86"/>
      <c r="O326" s="86"/>
    </row>
    <row r="327" spans="14:15" ht="15.5" x14ac:dyDescent="0.7">
      <c r="N327" s="86"/>
      <c r="O327" s="86"/>
    </row>
    <row r="328" spans="14:15" ht="15.5" x14ac:dyDescent="0.7">
      <c r="N328" s="86"/>
      <c r="O328" s="86"/>
    </row>
    <row r="329" spans="14:15" ht="15.5" x14ac:dyDescent="0.7">
      <c r="N329" s="86"/>
      <c r="O329" s="86"/>
    </row>
    <row r="330" spans="14:15" ht="15.5" x14ac:dyDescent="0.7">
      <c r="N330" s="86"/>
      <c r="O330" s="86"/>
    </row>
    <row r="331" spans="14:15" ht="15.5" x14ac:dyDescent="0.7">
      <c r="N331" s="86"/>
      <c r="O331" s="86"/>
    </row>
    <row r="332" spans="14:15" ht="15.5" x14ac:dyDescent="0.7">
      <c r="N332" s="86"/>
      <c r="O332" s="86"/>
    </row>
    <row r="333" spans="14:15" ht="15.5" x14ac:dyDescent="0.7">
      <c r="N333" s="86"/>
      <c r="O333" s="86"/>
    </row>
    <row r="334" spans="14:15" ht="15.5" x14ac:dyDescent="0.7">
      <c r="N334" s="86"/>
      <c r="O334" s="86"/>
    </row>
    <row r="335" spans="14:15" ht="15.5" x14ac:dyDescent="0.7">
      <c r="N335" s="86"/>
      <c r="O335" s="86"/>
    </row>
    <row r="336" spans="14:15" ht="15.5" x14ac:dyDescent="0.7">
      <c r="N336" s="86"/>
      <c r="O336" s="86"/>
    </row>
    <row r="337" spans="14:15" ht="15.5" x14ac:dyDescent="0.7">
      <c r="N337" s="86"/>
      <c r="O337" s="86"/>
    </row>
    <row r="338" spans="14:15" ht="15.5" x14ac:dyDescent="0.7">
      <c r="N338" s="86"/>
      <c r="O338" s="86"/>
    </row>
    <row r="339" spans="14:15" ht="15.5" x14ac:dyDescent="0.7">
      <c r="N339" s="86"/>
      <c r="O339" s="86"/>
    </row>
    <row r="340" spans="14:15" ht="15.5" x14ac:dyDescent="0.7">
      <c r="N340" s="86"/>
      <c r="O340" s="86"/>
    </row>
    <row r="341" spans="14:15" ht="15.5" x14ac:dyDescent="0.7">
      <c r="N341" s="86"/>
      <c r="O341" s="86"/>
    </row>
    <row r="342" spans="14:15" ht="15.5" x14ac:dyDescent="0.7">
      <c r="N342" s="86"/>
      <c r="O342" s="86"/>
    </row>
    <row r="343" spans="14:15" ht="15.5" x14ac:dyDescent="0.7">
      <c r="N343" s="86"/>
      <c r="O343" s="86"/>
    </row>
    <row r="344" spans="14:15" ht="15.5" x14ac:dyDescent="0.7">
      <c r="N344" s="86"/>
      <c r="O344" s="86"/>
    </row>
    <row r="345" spans="14:15" ht="15.5" x14ac:dyDescent="0.7">
      <c r="N345" s="86"/>
      <c r="O345" s="86"/>
    </row>
    <row r="346" spans="14:15" ht="15.5" x14ac:dyDescent="0.7">
      <c r="N346" s="86"/>
      <c r="O346" s="86"/>
    </row>
    <row r="347" spans="14:15" ht="15.5" x14ac:dyDescent="0.7">
      <c r="N347" s="86"/>
      <c r="O347" s="86"/>
    </row>
    <row r="348" spans="14:15" ht="15.5" x14ac:dyDescent="0.7">
      <c r="N348" s="86"/>
      <c r="O348" s="86"/>
    </row>
    <row r="349" spans="14:15" ht="15.5" x14ac:dyDescent="0.7">
      <c r="N349" s="86"/>
      <c r="O349" s="86"/>
    </row>
    <row r="350" spans="14:15" ht="15.5" x14ac:dyDescent="0.7">
      <c r="N350" s="86"/>
      <c r="O350" s="86"/>
    </row>
    <row r="351" spans="14:15" ht="15.5" x14ac:dyDescent="0.7">
      <c r="N351" s="86"/>
      <c r="O351" s="86"/>
    </row>
    <row r="352" spans="14:15" ht="15.5" x14ac:dyDescent="0.7">
      <c r="N352" s="86"/>
      <c r="O352" s="86"/>
    </row>
    <row r="353" spans="14:15" ht="15.5" x14ac:dyDescent="0.7">
      <c r="N353" s="86"/>
      <c r="O353" s="86"/>
    </row>
    <row r="354" spans="14:15" ht="15.5" x14ac:dyDescent="0.7">
      <c r="N354" s="86"/>
      <c r="O354" s="86"/>
    </row>
    <row r="355" spans="14:15" ht="15.5" x14ac:dyDescent="0.7">
      <c r="N355" s="86"/>
      <c r="O355" s="86"/>
    </row>
    <row r="356" spans="14:15" ht="15.5" x14ac:dyDescent="0.7">
      <c r="N356" s="86"/>
      <c r="O356" s="86"/>
    </row>
    <row r="357" spans="14:15" ht="15.5" x14ac:dyDescent="0.7">
      <c r="N357" s="86"/>
      <c r="O357" s="86"/>
    </row>
    <row r="358" spans="14:15" ht="15.5" x14ac:dyDescent="0.7">
      <c r="N358" s="86"/>
      <c r="O358" s="86"/>
    </row>
    <row r="359" spans="14:15" ht="15.5" x14ac:dyDescent="0.7">
      <c r="N359" s="86"/>
      <c r="O359" s="86"/>
    </row>
    <row r="360" spans="14:15" ht="15.5" x14ac:dyDescent="0.7">
      <c r="N360" s="86"/>
      <c r="O360" s="86"/>
    </row>
    <row r="361" spans="14:15" ht="15.5" x14ac:dyDescent="0.7">
      <c r="N361" s="86"/>
      <c r="O361" s="86"/>
    </row>
    <row r="362" spans="14:15" ht="15.5" x14ac:dyDescent="0.7">
      <c r="N362" s="86"/>
      <c r="O362" s="86"/>
    </row>
    <row r="363" spans="14:15" ht="15.5" x14ac:dyDescent="0.7">
      <c r="N363" s="86"/>
      <c r="O363" s="86"/>
    </row>
    <row r="364" spans="14:15" ht="15.5" x14ac:dyDescent="0.7">
      <c r="N364" s="86"/>
      <c r="O364" s="86"/>
    </row>
    <row r="365" spans="14:15" ht="15.5" x14ac:dyDescent="0.7">
      <c r="N365" s="86"/>
      <c r="O365" s="86"/>
    </row>
    <row r="366" spans="14:15" ht="15.5" x14ac:dyDescent="0.7">
      <c r="N366" s="86"/>
      <c r="O366" s="86"/>
    </row>
    <row r="367" spans="14:15" ht="15.5" x14ac:dyDescent="0.7">
      <c r="N367" s="86"/>
      <c r="O367" s="86"/>
    </row>
    <row r="368" spans="14:15" ht="15.5" x14ac:dyDescent="0.7">
      <c r="N368" s="86"/>
      <c r="O368" s="86"/>
    </row>
    <row r="369" spans="14:15" ht="15.5" x14ac:dyDescent="0.7">
      <c r="N369" s="86"/>
      <c r="O369" s="86"/>
    </row>
    <row r="370" spans="14:15" ht="15.5" x14ac:dyDescent="0.7">
      <c r="N370" s="86"/>
      <c r="O370" s="86"/>
    </row>
    <row r="371" spans="14:15" ht="15.5" x14ac:dyDescent="0.7">
      <c r="N371" s="86"/>
      <c r="O371" s="86"/>
    </row>
    <row r="372" spans="14:15" ht="15.5" x14ac:dyDescent="0.7">
      <c r="N372" s="86"/>
      <c r="O372" s="86"/>
    </row>
    <row r="373" spans="14:15" ht="15.5" x14ac:dyDescent="0.7">
      <c r="N373" s="86"/>
      <c r="O373" s="86"/>
    </row>
    <row r="374" spans="14:15" ht="15.5" x14ac:dyDescent="0.7">
      <c r="N374" s="86"/>
      <c r="O374" s="86"/>
    </row>
    <row r="375" spans="14:15" ht="15.5" x14ac:dyDescent="0.7">
      <c r="N375" s="86"/>
      <c r="O375" s="86"/>
    </row>
    <row r="376" spans="14:15" ht="15.5" x14ac:dyDescent="0.7">
      <c r="N376" s="86"/>
      <c r="O376" s="86"/>
    </row>
    <row r="377" spans="14:15" ht="15.5" x14ac:dyDescent="0.7">
      <c r="N377" s="86"/>
      <c r="O377" s="86"/>
    </row>
    <row r="378" spans="14:15" ht="15.5" x14ac:dyDescent="0.7">
      <c r="N378" s="86"/>
      <c r="O378" s="86"/>
    </row>
    <row r="379" spans="14:15" ht="15.5" x14ac:dyDescent="0.7">
      <c r="N379" s="86"/>
      <c r="O379" s="86"/>
    </row>
    <row r="380" spans="14:15" ht="15.5" x14ac:dyDescent="0.7">
      <c r="N380" s="86"/>
      <c r="O380" s="86"/>
    </row>
    <row r="381" spans="14:15" ht="15.5" x14ac:dyDescent="0.7">
      <c r="N381" s="86"/>
      <c r="O381" s="86"/>
    </row>
    <row r="382" spans="14:15" ht="15.5" x14ac:dyDescent="0.7">
      <c r="N382" s="86"/>
      <c r="O382" s="86"/>
    </row>
    <row r="383" spans="14:15" ht="15.5" x14ac:dyDescent="0.7">
      <c r="N383" s="86"/>
      <c r="O383" s="86"/>
    </row>
    <row r="384" spans="14:15" ht="15.5" x14ac:dyDescent="0.7">
      <c r="N384" s="86"/>
      <c r="O384" s="86"/>
    </row>
    <row r="385" spans="14:15" ht="15.5" x14ac:dyDescent="0.7">
      <c r="N385" s="86"/>
      <c r="O385" s="86"/>
    </row>
    <row r="386" spans="14:15" ht="15.5" x14ac:dyDescent="0.7">
      <c r="N386" s="86"/>
      <c r="O386" s="86"/>
    </row>
    <row r="387" spans="14:15" ht="15.5" x14ac:dyDescent="0.7">
      <c r="N387" s="86"/>
      <c r="O387" s="86"/>
    </row>
    <row r="388" spans="14:15" ht="15.5" x14ac:dyDescent="0.7">
      <c r="N388" s="86"/>
      <c r="O388" s="86"/>
    </row>
    <row r="389" spans="14:15" ht="15.5" x14ac:dyDescent="0.7">
      <c r="N389" s="86"/>
      <c r="O389" s="86"/>
    </row>
    <row r="390" spans="14:15" ht="15.5" x14ac:dyDescent="0.7">
      <c r="N390" s="86"/>
      <c r="O390" s="86"/>
    </row>
    <row r="391" spans="14:15" ht="15.5" x14ac:dyDescent="0.7">
      <c r="N391" s="86"/>
      <c r="O391" s="86"/>
    </row>
    <row r="392" spans="14:15" ht="15.5" x14ac:dyDescent="0.7">
      <c r="N392" s="86"/>
      <c r="O392" s="86"/>
    </row>
    <row r="393" spans="14:15" ht="15.5" x14ac:dyDescent="0.7">
      <c r="N393" s="86"/>
      <c r="O393" s="86"/>
    </row>
    <row r="394" spans="14:15" ht="15.5" x14ac:dyDescent="0.7">
      <c r="N394" s="86"/>
      <c r="O394" s="86"/>
    </row>
    <row r="395" spans="14:15" ht="15.5" x14ac:dyDescent="0.7">
      <c r="N395" s="86"/>
      <c r="O395" s="86"/>
    </row>
    <row r="396" spans="14:15" ht="15.5" x14ac:dyDescent="0.7">
      <c r="N396" s="86"/>
      <c r="O396" s="86"/>
    </row>
    <row r="397" spans="14:15" ht="15.5" x14ac:dyDescent="0.7">
      <c r="N397" s="86"/>
      <c r="O397" s="86"/>
    </row>
    <row r="398" spans="14:15" ht="15.5" x14ac:dyDescent="0.7">
      <c r="N398" s="86"/>
      <c r="O398" s="86"/>
    </row>
    <row r="399" spans="14:15" ht="15.5" x14ac:dyDescent="0.7">
      <c r="N399" s="86"/>
      <c r="O399" s="86"/>
    </row>
    <row r="400" spans="14:15" ht="15.5" x14ac:dyDescent="0.7">
      <c r="N400" s="86"/>
      <c r="O400" s="86"/>
    </row>
    <row r="401" spans="14:15" ht="15.5" x14ac:dyDescent="0.7">
      <c r="N401" s="86"/>
      <c r="O401" s="86"/>
    </row>
    <row r="402" spans="14:15" ht="15.5" x14ac:dyDescent="0.7">
      <c r="N402" s="86"/>
      <c r="O402" s="86"/>
    </row>
    <row r="403" spans="14:15" ht="15.5" x14ac:dyDescent="0.7">
      <c r="N403" s="86"/>
      <c r="O403" s="86"/>
    </row>
    <row r="404" spans="14:15" ht="15.5" x14ac:dyDescent="0.7">
      <c r="N404" s="86"/>
      <c r="O404" s="86"/>
    </row>
    <row r="405" spans="14:15" ht="15.5" x14ac:dyDescent="0.7">
      <c r="N405" s="86"/>
      <c r="O405" s="86"/>
    </row>
    <row r="406" spans="14:15" ht="15.5" x14ac:dyDescent="0.7">
      <c r="N406" s="86"/>
      <c r="O406" s="86"/>
    </row>
    <row r="407" spans="14:15" ht="15.5" x14ac:dyDescent="0.7">
      <c r="N407" s="86"/>
      <c r="O407" s="86"/>
    </row>
    <row r="408" spans="14:15" ht="15.5" x14ac:dyDescent="0.7">
      <c r="N408" s="86"/>
      <c r="O408" s="86"/>
    </row>
    <row r="409" spans="14:15" ht="15.5" x14ac:dyDescent="0.7">
      <c r="N409" s="86"/>
      <c r="O409" s="86"/>
    </row>
    <row r="410" spans="14:15" ht="15.5" x14ac:dyDescent="0.7">
      <c r="N410" s="86"/>
      <c r="O410" s="86"/>
    </row>
    <row r="411" spans="14:15" ht="15.5" x14ac:dyDescent="0.7">
      <c r="N411" s="86"/>
      <c r="O411" s="86"/>
    </row>
    <row r="412" spans="14:15" ht="15.5" x14ac:dyDescent="0.7">
      <c r="N412" s="86"/>
      <c r="O412" s="86"/>
    </row>
    <row r="413" spans="14:15" ht="15.5" x14ac:dyDescent="0.7">
      <c r="N413" s="86"/>
      <c r="O413" s="86"/>
    </row>
    <row r="414" spans="14:15" ht="15.5" x14ac:dyDescent="0.7">
      <c r="N414" s="86"/>
      <c r="O414" s="86"/>
    </row>
    <row r="415" spans="14:15" ht="15.5" x14ac:dyDescent="0.7">
      <c r="N415" s="86"/>
      <c r="O415" s="86"/>
    </row>
    <row r="416" spans="14:15" ht="15.5" x14ac:dyDescent="0.7">
      <c r="N416" s="86"/>
      <c r="O416" s="86"/>
    </row>
    <row r="417" spans="14:15" ht="15.5" x14ac:dyDescent="0.7">
      <c r="N417" s="86"/>
      <c r="O417" s="86"/>
    </row>
    <row r="418" spans="14:15" ht="15.5" x14ac:dyDescent="0.7">
      <c r="N418" s="86"/>
      <c r="O418" s="86"/>
    </row>
    <row r="419" spans="14:15" ht="15.5" x14ac:dyDescent="0.7">
      <c r="N419" s="86"/>
      <c r="O419" s="86"/>
    </row>
    <row r="420" spans="14:15" ht="15.5" x14ac:dyDescent="0.7">
      <c r="N420" s="86"/>
      <c r="O420" s="86"/>
    </row>
    <row r="421" spans="14:15" ht="15.5" x14ac:dyDescent="0.7">
      <c r="N421" s="86"/>
      <c r="O421" s="86"/>
    </row>
    <row r="422" spans="14:15" ht="15.5" x14ac:dyDescent="0.7">
      <c r="N422" s="86"/>
      <c r="O422" s="86"/>
    </row>
    <row r="423" spans="14:15" ht="15.5" x14ac:dyDescent="0.7">
      <c r="N423" s="86"/>
      <c r="O423" s="86"/>
    </row>
    <row r="424" spans="14:15" ht="15.5" x14ac:dyDescent="0.7">
      <c r="N424" s="86"/>
      <c r="O424" s="86"/>
    </row>
    <row r="425" spans="14:15" ht="15.5" x14ac:dyDescent="0.7">
      <c r="N425" s="86"/>
      <c r="O425" s="86"/>
    </row>
    <row r="426" spans="14:15" ht="15.5" x14ac:dyDescent="0.7">
      <c r="N426" s="86"/>
      <c r="O426" s="86"/>
    </row>
    <row r="427" spans="14:15" ht="15.5" x14ac:dyDescent="0.7">
      <c r="N427" s="86"/>
      <c r="O427" s="86"/>
    </row>
    <row r="428" spans="14:15" ht="15.5" x14ac:dyDescent="0.7">
      <c r="N428" s="86"/>
      <c r="O428" s="86"/>
    </row>
    <row r="429" spans="14:15" ht="15.5" x14ac:dyDescent="0.7">
      <c r="N429" s="86"/>
      <c r="O429" s="86"/>
    </row>
    <row r="430" spans="14:15" ht="15.5" x14ac:dyDescent="0.7">
      <c r="N430" s="86"/>
      <c r="O430" s="86"/>
    </row>
    <row r="431" spans="14:15" ht="15.5" x14ac:dyDescent="0.7">
      <c r="N431" s="86"/>
      <c r="O431" s="86"/>
    </row>
    <row r="432" spans="14:15" ht="15.5" x14ac:dyDescent="0.7">
      <c r="N432" s="86"/>
      <c r="O432" s="86"/>
    </row>
    <row r="433" spans="14:15" ht="15.5" x14ac:dyDescent="0.7">
      <c r="N433" s="86"/>
      <c r="O433" s="86"/>
    </row>
    <row r="434" spans="14:15" ht="15.5" x14ac:dyDescent="0.7">
      <c r="N434" s="86"/>
      <c r="O434" s="86"/>
    </row>
    <row r="435" spans="14:15" ht="15.5" x14ac:dyDescent="0.7">
      <c r="N435" s="86"/>
      <c r="O435" s="86"/>
    </row>
    <row r="436" spans="14:15" ht="15.5" x14ac:dyDescent="0.7">
      <c r="N436" s="86"/>
      <c r="O436" s="86"/>
    </row>
    <row r="437" spans="14:15" ht="15.5" x14ac:dyDescent="0.7">
      <c r="N437" s="86"/>
      <c r="O437" s="86"/>
    </row>
    <row r="438" spans="14:15" ht="15.5" x14ac:dyDescent="0.7">
      <c r="N438" s="86"/>
      <c r="O438" s="86"/>
    </row>
    <row r="439" spans="14:15" ht="15.5" x14ac:dyDescent="0.7">
      <c r="N439" s="86"/>
      <c r="O439" s="86"/>
    </row>
    <row r="440" spans="14:15" ht="15.5" x14ac:dyDescent="0.7">
      <c r="N440" s="86"/>
      <c r="O440" s="86"/>
    </row>
    <row r="441" spans="14:15" ht="15.5" x14ac:dyDescent="0.7">
      <c r="N441" s="86"/>
      <c r="O441" s="86"/>
    </row>
    <row r="442" spans="14:15" ht="15.5" x14ac:dyDescent="0.7">
      <c r="N442" s="86"/>
      <c r="O442" s="86"/>
    </row>
    <row r="443" spans="14:15" ht="15.5" x14ac:dyDescent="0.7">
      <c r="N443" s="86"/>
      <c r="O443" s="86"/>
    </row>
    <row r="444" spans="14:15" ht="15.5" x14ac:dyDescent="0.7">
      <c r="N444" s="86"/>
      <c r="O444" s="86"/>
    </row>
    <row r="445" spans="14:15" ht="15.5" x14ac:dyDescent="0.7">
      <c r="N445" s="86"/>
      <c r="O445" s="86"/>
    </row>
    <row r="446" spans="14:15" ht="15.5" x14ac:dyDescent="0.7">
      <c r="N446" s="86"/>
      <c r="O446" s="86"/>
    </row>
    <row r="447" spans="14:15" ht="15.5" x14ac:dyDescent="0.7">
      <c r="N447" s="86"/>
      <c r="O447" s="86"/>
    </row>
    <row r="448" spans="14:15" ht="15.5" x14ac:dyDescent="0.7">
      <c r="N448" s="86"/>
      <c r="O448" s="86"/>
    </row>
    <row r="449" spans="14:15" ht="15.5" x14ac:dyDescent="0.7">
      <c r="N449" s="86"/>
      <c r="O449" s="86"/>
    </row>
    <row r="450" spans="14:15" ht="15.5" x14ac:dyDescent="0.7">
      <c r="N450" s="86"/>
      <c r="O450" s="86"/>
    </row>
    <row r="451" spans="14:15" ht="15.5" x14ac:dyDescent="0.7">
      <c r="N451" s="86"/>
      <c r="O451" s="86"/>
    </row>
    <row r="452" spans="14:15" ht="15.5" x14ac:dyDescent="0.7">
      <c r="N452" s="86"/>
      <c r="O452" s="86"/>
    </row>
    <row r="453" spans="14:15" ht="15.5" x14ac:dyDescent="0.7">
      <c r="N453" s="86"/>
      <c r="O453" s="86"/>
    </row>
    <row r="454" spans="14:15" ht="15.5" x14ac:dyDescent="0.7">
      <c r="N454" s="86"/>
      <c r="O454" s="86"/>
    </row>
    <row r="455" spans="14:15" ht="15.5" x14ac:dyDescent="0.7">
      <c r="N455" s="86"/>
      <c r="O455" s="86"/>
    </row>
    <row r="456" spans="14:15" ht="15.5" x14ac:dyDescent="0.7">
      <c r="N456" s="86"/>
      <c r="O456" s="86"/>
    </row>
    <row r="457" spans="14:15" ht="15.5" x14ac:dyDescent="0.7">
      <c r="N457" s="86"/>
      <c r="O457" s="86"/>
    </row>
    <row r="458" spans="14:15" ht="15.5" x14ac:dyDescent="0.7">
      <c r="N458" s="86"/>
      <c r="O458" s="86"/>
    </row>
    <row r="459" spans="14:15" ht="15.5" x14ac:dyDescent="0.7">
      <c r="N459" s="86"/>
      <c r="O459" s="86"/>
    </row>
    <row r="460" spans="14:15" ht="15.5" x14ac:dyDescent="0.7">
      <c r="N460" s="86"/>
      <c r="O460" s="86"/>
    </row>
    <row r="461" spans="14:15" ht="15.5" x14ac:dyDescent="0.7">
      <c r="N461" s="86"/>
      <c r="O461" s="86"/>
    </row>
    <row r="462" spans="14:15" ht="15.5" x14ac:dyDescent="0.7">
      <c r="N462" s="86"/>
      <c r="O462" s="86"/>
    </row>
    <row r="463" spans="14:15" ht="15.5" x14ac:dyDescent="0.7">
      <c r="N463" s="86"/>
      <c r="O463" s="86"/>
    </row>
    <row r="464" spans="14:15" ht="15.5" x14ac:dyDescent="0.7">
      <c r="N464" s="86"/>
      <c r="O464" s="86"/>
    </row>
    <row r="465" spans="14:15" ht="15.5" x14ac:dyDescent="0.7">
      <c r="N465" s="86"/>
      <c r="O465" s="86"/>
    </row>
    <row r="466" spans="14:15" ht="15.5" x14ac:dyDescent="0.7">
      <c r="N466" s="86"/>
      <c r="O466" s="86"/>
    </row>
    <row r="467" spans="14:15" ht="15.5" x14ac:dyDescent="0.7">
      <c r="N467" s="86"/>
      <c r="O467" s="86"/>
    </row>
    <row r="468" spans="14:15" ht="15.5" x14ac:dyDescent="0.7">
      <c r="N468" s="86"/>
      <c r="O468" s="86"/>
    </row>
    <row r="469" spans="14:15" ht="15.5" x14ac:dyDescent="0.7">
      <c r="N469" s="86"/>
      <c r="O469" s="86"/>
    </row>
    <row r="470" spans="14:15" ht="15.5" x14ac:dyDescent="0.7">
      <c r="N470" s="86"/>
      <c r="O470" s="86"/>
    </row>
    <row r="471" spans="14:15" ht="15.5" x14ac:dyDescent="0.7">
      <c r="N471" s="86"/>
      <c r="O471" s="86"/>
    </row>
    <row r="472" spans="14:15" ht="15.5" x14ac:dyDescent="0.7">
      <c r="N472" s="86"/>
      <c r="O472" s="86"/>
    </row>
    <row r="473" spans="14:15" ht="15.5" x14ac:dyDescent="0.7">
      <c r="N473" s="86"/>
      <c r="O473" s="86"/>
    </row>
    <row r="474" spans="14:15" ht="15.5" x14ac:dyDescent="0.7">
      <c r="N474" s="86"/>
      <c r="O474" s="86"/>
    </row>
    <row r="475" spans="14:15" ht="15.5" x14ac:dyDescent="0.7">
      <c r="N475" s="86"/>
      <c r="O475" s="86"/>
    </row>
    <row r="476" spans="14:15" ht="15.5" x14ac:dyDescent="0.7">
      <c r="N476" s="86"/>
      <c r="O476" s="86"/>
    </row>
    <row r="477" spans="14:15" ht="15.5" x14ac:dyDescent="0.7">
      <c r="N477" s="86"/>
      <c r="O477" s="86"/>
    </row>
    <row r="478" spans="14:15" ht="15.5" x14ac:dyDescent="0.7">
      <c r="N478" s="86"/>
      <c r="O478" s="86"/>
    </row>
    <row r="479" spans="14:15" ht="15.5" x14ac:dyDescent="0.7">
      <c r="N479" s="86"/>
      <c r="O479" s="86"/>
    </row>
    <row r="480" spans="14:15" ht="15.5" x14ac:dyDescent="0.7">
      <c r="N480" s="86"/>
      <c r="O480" s="86"/>
    </row>
    <row r="481" spans="14:15" ht="15.5" x14ac:dyDescent="0.7">
      <c r="N481" s="86"/>
      <c r="O481" s="86"/>
    </row>
    <row r="482" spans="14:15" ht="15.5" x14ac:dyDescent="0.7">
      <c r="N482" s="86"/>
      <c r="O482" s="86"/>
    </row>
    <row r="483" spans="14:15" ht="15.5" x14ac:dyDescent="0.7">
      <c r="N483" s="86"/>
      <c r="O483" s="86"/>
    </row>
    <row r="484" spans="14:15" ht="15.5" x14ac:dyDescent="0.7">
      <c r="N484" s="86"/>
      <c r="O484" s="86"/>
    </row>
    <row r="485" spans="14:15" ht="15.5" x14ac:dyDescent="0.7">
      <c r="N485" s="86"/>
      <c r="O485" s="86"/>
    </row>
    <row r="486" spans="14:15" ht="15.5" x14ac:dyDescent="0.7">
      <c r="N486" s="86"/>
      <c r="O486" s="86"/>
    </row>
    <row r="487" spans="14:15" ht="15.5" x14ac:dyDescent="0.7">
      <c r="N487" s="86"/>
      <c r="O487" s="86"/>
    </row>
    <row r="488" spans="14:15" ht="15.5" x14ac:dyDescent="0.7">
      <c r="N488" s="86"/>
      <c r="O488" s="86"/>
    </row>
    <row r="489" spans="14:15" ht="15.5" x14ac:dyDescent="0.7">
      <c r="N489" s="86"/>
      <c r="O489" s="86"/>
    </row>
    <row r="490" spans="14:15" ht="15.5" x14ac:dyDescent="0.7">
      <c r="N490" s="86"/>
      <c r="O490" s="86"/>
    </row>
    <row r="491" spans="14:15" ht="15.5" x14ac:dyDescent="0.7">
      <c r="N491" s="86"/>
      <c r="O491" s="86"/>
    </row>
    <row r="492" spans="14:15" ht="15.5" x14ac:dyDescent="0.7">
      <c r="N492" s="86"/>
      <c r="O492" s="86"/>
    </row>
    <row r="493" spans="14:15" ht="15.5" x14ac:dyDescent="0.7">
      <c r="N493" s="86"/>
      <c r="O493" s="86"/>
    </row>
    <row r="494" spans="14:15" ht="15.5" x14ac:dyDescent="0.7">
      <c r="N494" s="86"/>
      <c r="O494" s="86"/>
    </row>
    <row r="495" spans="14:15" ht="15.5" x14ac:dyDescent="0.7">
      <c r="N495" s="86"/>
      <c r="O495" s="86"/>
    </row>
    <row r="496" spans="14:15" ht="15.5" x14ac:dyDescent="0.7">
      <c r="N496" s="86"/>
      <c r="O496" s="86"/>
    </row>
    <row r="497" spans="14:15" ht="15.5" x14ac:dyDescent="0.7">
      <c r="N497" s="86"/>
      <c r="O497" s="86"/>
    </row>
    <row r="498" spans="14:15" ht="15.5" x14ac:dyDescent="0.7">
      <c r="N498" s="86"/>
      <c r="O498" s="86"/>
    </row>
    <row r="499" spans="14:15" ht="15.5" x14ac:dyDescent="0.7">
      <c r="N499" s="86"/>
      <c r="O499" s="86"/>
    </row>
    <row r="500" spans="14:15" ht="15.5" x14ac:dyDescent="0.7">
      <c r="N500" s="86"/>
      <c r="O500" s="86"/>
    </row>
    <row r="501" spans="14:15" ht="15.5" x14ac:dyDescent="0.7">
      <c r="N501" s="86"/>
      <c r="O501" s="86"/>
    </row>
    <row r="502" spans="14:15" ht="15.5" x14ac:dyDescent="0.7">
      <c r="N502" s="86"/>
      <c r="O502" s="86"/>
    </row>
    <row r="503" spans="14:15" ht="15.5" x14ac:dyDescent="0.7">
      <c r="N503" s="86"/>
      <c r="O503" s="86"/>
    </row>
    <row r="504" spans="14:15" ht="15.5" x14ac:dyDescent="0.7">
      <c r="N504" s="86"/>
      <c r="O504" s="86"/>
    </row>
    <row r="505" spans="14:15" ht="15.5" x14ac:dyDescent="0.7">
      <c r="N505" s="86"/>
      <c r="O505" s="86"/>
    </row>
    <row r="506" spans="14:15" ht="15.5" x14ac:dyDescent="0.7">
      <c r="N506" s="86"/>
      <c r="O506" s="86"/>
    </row>
    <row r="507" spans="14:15" ht="15.5" x14ac:dyDescent="0.7">
      <c r="N507" s="86"/>
      <c r="O507" s="86"/>
    </row>
    <row r="508" spans="14:15" ht="15.5" x14ac:dyDescent="0.7">
      <c r="N508" s="86"/>
      <c r="O508" s="86"/>
    </row>
    <row r="509" spans="14:15" ht="15.5" x14ac:dyDescent="0.7">
      <c r="N509" s="86"/>
      <c r="O509" s="86"/>
    </row>
    <row r="510" spans="14:15" ht="15.5" x14ac:dyDescent="0.7">
      <c r="N510" s="86"/>
      <c r="O510" s="86"/>
    </row>
    <row r="511" spans="14:15" ht="15.5" x14ac:dyDescent="0.7">
      <c r="N511" s="86"/>
      <c r="O511" s="86"/>
    </row>
    <row r="512" spans="14:15" ht="15.5" x14ac:dyDescent="0.7">
      <c r="N512" s="86"/>
      <c r="O512" s="86"/>
    </row>
    <row r="513" spans="14:15" ht="15.5" x14ac:dyDescent="0.7">
      <c r="N513" s="86"/>
      <c r="O513" s="86"/>
    </row>
    <row r="514" spans="14:15" ht="15.5" x14ac:dyDescent="0.7">
      <c r="N514" s="86"/>
      <c r="O514" s="86"/>
    </row>
    <row r="515" spans="14:15" ht="15.5" x14ac:dyDescent="0.7">
      <c r="N515" s="86"/>
      <c r="O515" s="86"/>
    </row>
    <row r="516" spans="14:15" ht="15.5" x14ac:dyDescent="0.7">
      <c r="N516" s="86"/>
      <c r="O516" s="86"/>
    </row>
    <row r="517" spans="14:15" ht="15.5" x14ac:dyDescent="0.7">
      <c r="N517" s="86"/>
      <c r="O517" s="86"/>
    </row>
    <row r="518" spans="14:15" ht="15.5" x14ac:dyDescent="0.7">
      <c r="N518" s="86"/>
      <c r="O518" s="86"/>
    </row>
    <row r="519" spans="14:15" ht="15.5" x14ac:dyDescent="0.7">
      <c r="N519" s="86"/>
      <c r="O519" s="86"/>
    </row>
    <row r="520" spans="14:15" ht="15.5" x14ac:dyDescent="0.7">
      <c r="N520" s="86"/>
      <c r="O520" s="86"/>
    </row>
    <row r="521" spans="14:15" ht="15.5" x14ac:dyDescent="0.7">
      <c r="N521" s="86"/>
      <c r="O521" s="86"/>
    </row>
    <row r="522" spans="14:15" ht="15.5" x14ac:dyDescent="0.7">
      <c r="N522" s="86"/>
      <c r="O522" s="86"/>
    </row>
    <row r="523" spans="14:15" ht="15.5" x14ac:dyDescent="0.7">
      <c r="N523" s="86"/>
      <c r="O523" s="86"/>
    </row>
    <row r="524" spans="14:15" ht="15.5" x14ac:dyDescent="0.7">
      <c r="N524" s="86"/>
      <c r="O524" s="86"/>
    </row>
    <row r="525" spans="14:15" ht="15.5" x14ac:dyDescent="0.7">
      <c r="N525" s="86"/>
      <c r="O525" s="86"/>
    </row>
    <row r="526" spans="14:15" ht="15.5" x14ac:dyDescent="0.7">
      <c r="N526" s="86"/>
      <c r="O526" s="86"/>
    </row>
    <row r="527" spans="14:15" ht="15.5" x14ac:dyDescent="0.7">
      <c r="N527" s="86"/>
      <c r="O527" s="86"/>
    </row>
    <row r="528" spans="14:15" ht="15.5" x14ac:dyDescent="0.7">
      <c r="N528" s="86"/>
      <c r="O528" s="86"/>
    </row>
    <row r="529" spans="14:15" ht="15.5" x14ac:dyDescent="0.7">
      <c r="N529" s="86"/>
      <c r="O529" s="86"/>
    </row>
    <row r="530" spans="14:15" ht="15.5" x14ac:dyDescent="0.7">
      <c r="N530" s="86"/>
      <c r="O530" s="86"/>
    </row>
    <row r="531" spans="14:15" ht="15.5" x14ac:dyDescent="0.7">
      <c r="N531" s="86"/>
      <c r="O531" s="86"/>
    </row>
    <row r="532" spans="14:15" ht="15.5" x14ac:dyDescent="0.7">
      <c r="N532" s="86"/>
      <c r="O532" s="86"/>
    </row>
    <row r="533" spans="14:15" ht="15.5" x14ac:dyDescent="0.7">
      <c r="N533" s="86"/>
      <c r="O533" s="86"/>
    </row>
    <row r="534" spans="14:15" ht="15.5" x14ac:dyDescent="0.7">
      <c r="N534" s="86"/>
      <c r="O534" s="86"/>
    </row>
    <row r="535" spans="14:15" ht="15.5" x14ac:dyDescent="0.7">
      <c r="N535" s="86"/>
      <c r="O535" s="86"/>
    </row>
    <row r="536" spans="14:15" ht="15.5" x14ac:dyDescent="0.7">
      <c r="N536" s="86"/>
      <c r="O536" s="86"/>
    </row>
    <row r="537" spans="14:15" ht="15.5" x14ac:dyDescent="0.7">
      <c r="N537" s="86"/>
      <c r="O537" s="86"/>
    </row>
    <row r="538" spans="14:15" ht="15.5" x14ac:dyDescent="0.7">
      <c r="N538" s="86"/>
      <c r="O538" s="86"/>
    </row>
    <row r="539" spans="14:15" ht="15.5" x14ac:dyDescent="0.7">
      <c r="N539" s="86"/>
      <c r="O539" s="86"/>
    </row>
    <row r="540" spans="14:15" ht="15.5" x14ac:dyDescent="0.7">
      <c r="N540" s="86"/>
      <c r="O540" s="86"/>
    </row>
    <row r="541" spans="14:15" ht="15.5" x14ac:dyDescent="0.7">
      <c r="N541" s="86"/>
      <c r="O541" s="86"/>
    </row>
    <row r="542" spans="14:15" ht="15.5" x14ac:dyDescent="0.7">
      <c r="N542" s="86"/>
      <c r="O542" s="86"/>
    </row>
    <row r="543" spans="14:15" ht="15.5" x14ac:dyDescent="0.7">
      <c r="N543" s="86"/>
      <c r="O543" s="86"/>
    </row>
    <row r="544" spans="14:15" ht="15.5" x14ac:dyDescent="0.7">
      <c r="N544" s="86"/>
      <c r="O544" s="86"/>
    </row>
    <row r="545" spans="14:15" ht="15.5" x14ac:dyDescent="0.7">
      <c r="N545" s="86"/>
      <c r="O545" s="86"/>
    </row>
    <row r="546" spans="14:15" ht="15.5" x14ac:dyDescent="0.7">
      <c r="N546" s="86"/>
      <c r="O546" s="86"/>
    </row>
    <row r="547" spans="14:15" ht="15.5" x14ac:dyDescent="0.7">
      <c r="N547" s="86"/>
      <c r="O547" s="86"/>
    </row>
    <row r="548" spans="14:15" ht="15.5" x14ac:dyDescent="0.7">
      <c r="N548" s="86"/>
      <c r="O548" s="86"/>
    </row>
    <row r="549" spans="14:15" ht="15.5" x14ac:dyDescent="0.7">
      <c r="N549" s="86"/>
      <c r="O549" s="86"/>
    </row>
    <row r="550" spans="14:15" ht="15.5" x14ac:dyDescent="0.7">
      <c r="N550" s="86"/>
      <c r="O550" s="86"/>
    </row>
    <row r="551" spans="14:15" ht="15.5" x14ac:dyDescent="0.7">
      <c r="N551" s="86"/>
      <c r="O551" s="86"/>
    </row>
    <row r="552" spans="14:15" ht="15.5" x14ac:dyDescent="0.7">
      <c r="N552" s="86"/>
      <c r="O552" s="86"/>
    </row>
    <row r="553" spans="14:15" ht="15.5" x14ac:dyDescent="0.7">
      <c r="N553" s="86"/>
      <c r="O553" s="86"/>
    </row>
    <row r="554" spans="14:15" ht="15.5" x14ac:dyDescent="0.7">
      <c r="N554" s="86"/>
      <c r="O554" s="86"/>
    </row>
    <row r="555" spans="14:15" ht="15.5" x14ac:dyDescent="0.7">
      <c r="N555" s="86"/>
      <c r="O555" s="86"/>
    </row>
    <row r="556" spans="14:15" ht="15.5" x14ac:dyDescent="0.7">
      <c r="N556" s="86"/>
      <c r="O556" s="86"/>
    </row>
    <row r="557" spans="14:15" ht="15.5" x14ac:dyDescent="0.7">
      <c r="N557" s="86"/>
      <c r="O557" s="86"/>
    </row>
    <row r="558" spans="14:15" ht="15.5" x14ac:dyDescent="0.7">
      <c r="N558" s="86"/>
      <c r="O558" s="86"/>
    </row>
    <row r="559" spans="14:15" ht="15.5" x14ac:dyDescent="0.7">
      <c r="N559" s="86"/>
      <c r="O559" s="86"/>
    </row>
    <row r="560" spans="14:15" ht="15.5" x14ac:dyDescent="0.7">
      <c r="N560" s="86"/>
      <c r="O560" s="86"/>
    </row>
    <row r="561" spans="14:15" ht="15.5" x14ac:dyDescent="0.7">
      <c r="N561" s="86"/>
      <c r="O561" s="86"/>
    </row>
    <row r="562" spans="14:15" ht="15.5" x14ac:dyDescent="0.7">
      <c r="N562" s="86"/>
      <c r="O562" s="86"/>
    </row>
    <row r="563" spans="14:15" ht="15.5" x14ac:dyDescent="0.7">
      <c r="N563" s="86"/>
      <c r="O563" s="86"/>
    </row>
    <row r="564" spans="14:15" ht="15.5" x14ac:dyDescent="0.7">
      <c r="N564" s="86"/>
      <c r="O564" s="86"/>
    </row>
    <row r="565" spans="14:15" ht="15.5" x14ac:dyDescent="0.7">
      <c r="N565" s="86"/>
      <c r="O565" s="86"/>
    </row>
    <row r="566" spans="14:15" ht="15.5" x14ac:dyDescent="0.7">
      <c r="N566" s="86"/>
      <c r="O566" s="86"/>
    </row>
    <row r="567" spans="14:15" ht="15.5" x14ac:dyDescent="0.7">
      <c r="N567" s="86"/>
      <c r="O567" s="86"/>
    </row>
    <row r="568" spans="14:15" ht="15.5" x14ac:dyDescent="0.7">
      <c r="N568" s="86"/>
      <c r="O568" s="86"/>
    </row>
    <row r="569" spans="14:15" ht="15.5" x14ac:dyDescent="0.7">
      <c r="N569" s="86"/>
      <c r="O569" s="86"/>
    </row>
    <row r="570" spans="14:15" ht="15.5" x14ac:dyDescent="0.7">
      <c r="N570" s="86"/>
      <c r="O570" s="86"/>
    </row>
    <row r="571" spans="14:15" ht="15.5" x14ac:dyDescent="0.7">
      <c r="N571" s="86"/>
      <c r="O571" s="86"/>
    </row>
    <row r="572" spans="14:15" ht="15.5" x14ac:dyDescent="0.7">
      <c r="N572" s="86"/>
      <c r="O572" s="86"/>
    </row>
    <row r="573" spans="14:15" ht="15.5" x14ac:dyDescent="0.7">
      <c r="N573" s="86"/>
      <c r="O573" s="86"/>
    </row>
    <row r="574" spans="14:15" ht="15.5" x14ac:dyDescent="0.7">
      <c r="N574" s="86"/>
      <c r="O574" s="86"/>
    </row>
    <row r="575" spans="14:15" ht="15.5" x14ac:dyDescent="0.7">
      <c r="N575" s="86"/>
      <c r="O575" s="86"/>
    </row>
    <row r="576" spans="14:15" ht="15.5" x14ac:dyDescent="0.7">
      <c r="N576" s="86"/>
      <c r="O576" s="86"/>
    </row>
    <row r="577" spans="14:15" ht="15.5" x14ac:dyDescent="0.7">
      <c r="N577" s="86"/>
      <c r="O577" s="86"/>
    </row>
    <row r="578" spans="14:15" ht="15.5" x14ac:dyDescent="0.7">
      <c r="N578" s="86"/>
      <c r="O578" s="86"/>
    </row>
    <row r="579" spans="14:15" ht="15.5" x14ac:dyDescent="0.7">
      <c r="N579" s="86"/>
      <c r="O579" s="86"/>
    </row>
    <row r="580" spans="14:15" ht="15.5" x14ac:dyDescent="0.7">
      <c r="N580" s="86"/>
      <c r="O580" s="86"/>
    </row>
    <row r="581" spans="14:15" ht="15.5" x14ac:dyDescent="0.7">
      <c r="N581" s="86"/>
      <c r="O581" s="86"/>
    </row>
    <row r="582" spans="14:15" ht="15.5" x14ac:dyDescent="0.7">
      <c r="N582" s="86"/>
      <c r="O582" s="86"/>
    </row>
    <row r="583" spans="14:15" ht="15.5" x14ac:dyDescent="0.7">
      <c r="N583" s="86"/>
      <c r="O583" s="86"/>
    </row>
    <row r="584" spans="14:15" ht="15.5" x14ac:dyDescent="0.7">
      <c r="N584" s="86"/>
      <c r="O584" s="86"/>
    </row>
    <row r="585" spans="14:15" ht="15.5" x14ac:dyDescent="0.7">
      <c r="N585" s="86"/>
      <c r="O585" s="86"/>
    </row>
    <row r="586" spans="14:15" ht="15.5" x14ac:dyDescent="0.7">
      <c r="N586" s="86"/>
      <c r="O586" s="86"/>
    </row>
    <row r="587" spans="14:15" ht="15.5" x14ac:dyDescent="0.7">
      <c r="N587" s="86"/>
      <c r="O587" s="86"/>
    </row>
    <row r="588" spans="14:15" ht="15.5" x14ac:dyDescent="0.7">
      <c r="N588" s="86"/>
      <c r="O588" s="86"/>
    </row>
    <row r="589" spans="14:15" ht="15.5" x14ac:dyDescent="0.7">
      <c r="N589" s="86"/>
      <c r="O589" s="86"/>
    </row>
    <row r="590" spans="14:15" ht="15.5" x14ac:dyDescent="0.7">
      <c r="N590" s="86"/>
      <c r="O590" s="86"/>
    </row>
    <row r="591" spans="14:15" ht="15.5" x14ac:dyDescent="0.7">
      <c r="N591" s="86"/>
      <c r="O591" s="86"/>
    </row>
    <row r="592" spans="14:15" ht="15.5" x14ac:dyDescent="0.7">
      <c r="N592" s="86"/>
      <c r="O592" s="86"/>
    </row>
    <row r="593" spans="14:15" ht="15.5" x14ac:dyDescent="0.7">
      <c r="N593" s="86"/>
      <c r="O593" s="86"/>
    </row>
    <row r="594" spans="14:15" ht="15.5" x14ac:dyDescent="0.7">
      <c r="N594" s="86"/>
      <c r="O594" s="86"/>
    </row>
    <row r="595" spans="14:15" ht="15.5" x14ac:dyDescent="0.7">
      <c r="N595" s="86"/>
      <c r="O595" s="86"/>
    </row>
    <row r="596" spans="14:15" ht="15.5" x14ac:dyDescent="0.7">
      <c r="N596" s="86"/>
      <c r="O596" s="86"/>
    </row>
    <row r="597" spans="14:15" ht="15.5" x14ac:dyDescent="0.7">
      <c r="N597" s="86"/>
      <c r="O597" s="86"/>
    </row>
    <row r="598" spans="14:15" ht="15.5" x14ac:dyDescent="0.7">
      <c r="N598" s="86"/>
      <c r="O598" s="86"/>
    </row>
    <row r="599" spans="14:15" ht="15.5" x14ac:dyDescent="0.7">
      <c r="N599" s="86"/>
      <c r="O599" s="86"/>
    </row>
    <row r="600" spans="14:15" ht="15.5" x14ac:dyDescent="0.7">
      <c r="N600" s="86"/>
      <c r="O600" s="86"/>
    </row>
    <row r="601" spans="14:15" ht="15.5" x14ac:dyDescent="0.7">
      <c r="N601" s="86"/>
      <c r="O601" s="86"/>
    </row>
    <row r="602" spans="14:15" ht="15.5" x14ac:dyDescent="0.7">
      <c r="N602" s="86"/>
      <c r="O602" s="86"/>
    </row>
    <row r="603" spans="14:15" ht="15.5" x14ac:dyDescent="0.7">
      <c r="N603" s="86"/>
      <c r="O603" s="86"/>
    </row>
    <row r="604" spans="14:15" ht="15.5" x14ac:dyDescent="0.7">
      <c r="N604" s="86"/>
      <c r="O604" s="86"/>
    </row>
    <row r="605" spans="14:15" ht="15.5" x14ac:dyDescent="0.7">
      <c r="N605" s="86"/>
      <c r="O605" s="86"/>
    </row>
    <row r="606" spans="14:15" ht="15.5" x14ac:dyDescent="0.7">
      <c r="N606" s="86"/>
      <c r="O606" s="86"/>
    </row>
    <row r="607" spans="14:15" ht="15.5" x14ac:dyDescent="0.7">
      <c r="N607" s="86"/>
      <c r="O607" s="86"/>
    </row>
    <row r="608" spans="14:15" ht="15.5" x14ac:dyDescent="0.7">
      <c r="N608" s="86"/>
      <c r="O608" s="86"/>
    </row>
    <row r="609" spans="14:15" ht="15.5" x14ac:dyDescent="0.7">
      <c r="N609" s="86"/>
      <c r="O609" s="86"/>
    </row>
    <row r="610" spans="14:15" ht="15.5" x14ac:dyDescent="0.7">
      <c r="N610" s="86"/>
      <c r="O610" s="86"/>
    </row>
    <row r="611" spans="14:15" ht="15.5" x14ac:dyDescent="0.7">
      <c r="N611" s="86"/>
      <c r="O611" s="86"/>
    </row>
    <row r="612" spans="14:15" ht="15.5" x14ac:dyDescent="0.7">
      <c r="N612" s="86"/>
      <c r="O612" s="86"/>
    </row>
    <row r="613" spans="14:15" ht="15.5" x14ac:dyDescent="0.7">
      <c r="N613" s="86"/>
      <c r="O613" s="86"/>
    </row>
    <row r="614" spans="14:15" ht="15.5" x14ac:dyDescent="0.7">
      <c r="N614" s="86"/>
      <c r="O614" s="86"/>
    </row>
    <row r="615" spans="14:15" ht="15.5" x14ac:dyDescent="0.7">
      <c r="N615" s="86"/>
      <c r="O615" s="86"/>
    </row>
    <row r="616" spans="14:15" ht="15.5" x14ac:dyDescent="0.7">
      <c r="N616" s="86"/>
      <c r="O616" s="86"/>
    </row>
    <row r="617" spans="14:15" ht="15.5" x14ac:dyDescent="0.7">
      <c r="N617" s="86"/>
      <c r="O617" s="86"/>
    </row>
    <row r="618" spans="14:15" ht="15.5" x14ac:dyDescent="0.7">
      <c r="N618" s="86"/>
      <c r="O618" s="86"/>
    </row>
    <row r="619" spans="14:15" ht="15.5" x14ac:dyDescent="0.7">
      <c r="N619" s="86"/>
      <c r="O619" s="86"/>
    </row>
    <row r="620" spans="14:15" ht="15.5" x14ac:dyDescent="0.7">
      <c r="N620" s="86"/>
      <c r="O620" s="86"/>
    </row>
    <row r="621" spans="14:15" ht="15.5" x14ac:dyDescent="0.7">
      <c r="N621" s="86"/>
      <c r="O621" s="86"/>
    </row>
    <row r="622" spans="14:15" ht="15.5" x14ac:dyDescent="0.7">
      <c r="N622" s="86"/>
      <c r="O622" s="86"/>
    </row>
    <row r="623" spans="14:15" ht="15.5" x14ac:dyDescent="0.7">
      <c r="N623" s="86"/>
      <c r="O623" s="86"/>
    </row>
    <row r="624" spans="14:15" ht="15.5" x14ac:dyDescent="0.7">
      <c r="N624" s="86"/>
      <c r="O624" s="86"/>
    </row>
    <row r="625" spans="14:15" ht="15.5" x14ac:dyDescent="0.7">
      <c r="N625" s="86"/>
      <c r="O625" s="86"/>
    </row>
    <row r="626" spans="14:15" ht="15.5" x14ac:dyDescent="0.7">
      <c r="N626" s="86"/>
      <c r="O626" s="86"/>
    </row>
    <row r="627" spans="14:15" ht="15.5" x14ac:dyDescent="0.7">
      <c r="N627" s="86"/>
      <c r="O627" s="86"/>
    </row>
    <row r="628" spans="14:15" ht="15.5" x14ac:dyDescent="0.7">
      <c r="N628" s="86"/>
      <c r="O628" s="86"/>
    </row>
    <row r="629" spans="14:15" ht="15.5" x14ac:dyDescent="0.7">
      <c r="N629" s="86"/>
      <c r="O629" s="86"/>
    </row>
    <row r="630" spans="14:15" ht="15.5" x14ac:dyDescent="0.7">
      <c r="N630" s="86"/>
      <c r="O630" s="86"/>
    </row>
    <row r="631" spans="14:15" ht="15.5" x14ac:dyDescent="0.7">
      <c r="N631" s="86"/>
      <c r="O631" s="86"/>
    </row>
    <row r="632" spans="14:15" ht="15.5" x14ac:dyDescent="0.7">
      <c r="N632" s="86"/>
      <c r="O632" s="86"/>
    </row>
    <row r="633" spans="14:15" ht="15.5" x14ac:dyDescent="0.7">
      <c r="N633" s="86"/>
      <c r="O633" s="86"/>
    </row>
    <row r="634" spans="14:15" ht="15.5" x14ac:dyDescent="0.7">
      <c r="N634" s="86"/>
      <c r="O634" s="86"/>
    </row>
    <row r="635" spans="14:15" ht="15.5" x14ac:dyDescent="0.7">
      <c r="N635" s="86"/>
      <c r="O635" s="86"/>
    </row>
    <row r="636" spans="14:15" ht="15.5" x14ac:dyDescent="0.7">
      <c r="N636" s="86"/>
      <c r="O636" s="86"/>
    </row>
    <row r="637" spans="14:15" ht="15.5" x14ac:dyDescent="0.7">
      <c r="N637" s="86"/>
      <c r="O637" s="86"/>
    </row>
    <row r="638" spans="14:15" ht="15.5" x14ac:dyDescent="0.7">
      <c r="N638" s="86"/>
      <c r="O638" s="86"/>
    </row>
    <row r="639" spans="14:15" ht="15.5" x14ac:dyDescent="0.7">
      <c r="N639" s="86"/>
      <c r="O639" s="86"/>
    </row>
    <row r="640" spans="14:15" ht="15.5" x14ac:dyDescent="0.7">
      <c r="N640" s="86"/>
      <c r="O640" s="86"/>
    </row>
    <row r="641" spans="14:15" ht="15.5" x14ac:dyDescent="0.7">
      <c r="N641" s="86"/>
      <c r="O641" s="86"/>
    </row>
    <row r="642" spans="14:15" ht="15.5" x14ac:dyDescent="0.7">
      <c r="N642" s="86"/>
      <c r="O642" s="86"/>
    </row>
    <row r="643" spans="14:15" ht="15.5" x14ac:dyDescent="0.7">
      <c r="N643" s="86"/>
      <c r="O643" s="86"/>
    </row>
    <row r="644" spans="14:15" ht="15.5" x14ac:dyDescent="0.7">
      <c r="N644" s="86"/>
      <c r="O644" s="86"/>
    </row>
    <row r="645" spans="14:15" ht="15.5" x14ac:dyDescent="0.7">
      <c r="N645" s="86"/>
      <c r="O645" s="86"/>
    </row>
    <row r="646" spans="14:15" ht="15.5" x14ac:dyDescent="0.7">
      <c r="N646" s="86"/>
      <c r="O646" s="86"/>
    </row>
    <row r="647" spans="14:15" ht="15.5" x14ac:dyDescent="0.7">
      <c r="N647" s="86"/>
      <c r="O647" s="86"/>
    </row>
    <row r="648" spans="14:15" ht="15.5" x14ac:dyDescent="0.7">
      <c r="N648" s="86"/>
      <c r="O648" s="86"/>
    </row>
    <row r="649" spans="14:15" ht="15.5" x14ac:dyDescent="0.7">
      <c r="N649" s="86"/>
      <c r="O649" s="86"/>
    </row>
    <row r="650" spans="14:15" ht="15.5" x14ac:dyDescent="0.7">
      <c r="N650" s="86"/>
      <c r="O650" s="86"/>
    </row>
    <row r="651" spans="14:15" ht="15.5" x14ac:dyDescent="0.7">
      <c r="N651" s="86"/>
      <c r="O651" s="86"/>
    </row>
    <row r="652" spans="14:15" ht="15.5" x14ac:dyDescent="0.7">
      <c r="N652" s="86"/>
      <c r="O652" s="86"/>
    </row>
    <row r="653" spans="14:15" ht="15.5" x14ac:dyDescent="0.7">
      <c r="N653" s="86"/>
      <c r="O653" s="86"/>
    </row>
    <row r="654" spans="14:15" ht="15.5" x14ac:dyDescent="0.7">
      <c r="N654" s="86"/>
      <c r="O654" s="86"/>
    </row>
    <row r="655" spans="14:15" ht="15.5" x14ac:dyDescent="0.7">
      <c r="N655" s="86"/>
      <c r="O655" s="86"/>
    </row>
    <row r="656" spans="14:15" ht="15.5" x14ac:dyDescent="0.7">
      <c r="N656" s="86"/>
      <c r="O656" s="86"/>
    </row>
    <row r="657" spans="14:15" ht="15.5" x14ac:dyDescent="0.7">
      <c r="N657" s="86"/>
      <c r="O657" s="86"/>
    </row>
    <row r="658" spans="14:15" ht="15.5" x14ac:dyDescent="0.7">
      <c r="N658" s="86"/>
      <c r="O658" s="86"/>
    </row>
    <row r="659" spans="14:15" ht="15.5" x14ac:dyDescent="0.7">
      <c r="N659" s="86"/>
      <c r="O659" s="86"/>
    </row>
    <row r="660" spans="14:15" ht="15.5" x14ac:dyDescent="0.7">
      <c r="N660" s="86"/>
      <c r="O660" s="86"/>
    </row>
    <row r="661" spans="14:15" ht="15.5" x14ac:dyDescent="0.7">
      <c r="N661" s="86"/>
      <c r="O661" s="86"/>
    </row>
    <row r="662" spans="14:15" ht="15.5" x14ac:dyDescent="0.7">
      <c r="N662" s="86"/>
      <c r="O662" s="86"/>
    </row>
    <row r="663" spans="14:15" ht="15.5" x14ac:dyDescent="0.7">
      <c r="N663" s="86"/>
      <c r="O663" s="86"/>
    </row>
    <row r="664" spans="14:15" ht="15.5" x14ac:dyDescent="0.7">
      <c r="N664" s="86"/>
      <c r="O664" s="86"/>
    </row>
    <row r="665" spans="14:15" ht="15.5" x14ac:dyDescent="0.7">
      <c r="N665" s="86"/>
      <c r="O665" s="86"/>
    </row>
    <row r="666" spans="14:15" ht="15.5" x14ac:dyDescent="0.7">
      <c r="N666" s="86"/>
      <c r="O666" s="86"/>
    </row>
    <row r="667" spans="14:15" ht="15.5" x14ac:dyDescent="0.7">
      <c r="N667" s="86"/>
      <c r="O667" s="86"/>
    </row>
    <row r="668" spans="14:15" ht="15.5" x14ac:dyDescent="0.7">
      <c r="N668" s="86"/>
      <c r="O668" s="86"/>
    </row>
    <row r="669" spans="14:15" ht="15.5" x14ac:dyDescent="0.7">
      <c r="N669" s="86"/>
      <c r="O669" s="86"/>
    </row>
    <row r="670" spans="14:15" ht="15.5" x14ac:dyDescent="0.7">
      <c r="N670" s="86"/>
      <c r="O670" s="86"/>
    </row>
    <row r="671" spans="14:15" ht="15.5" x14ac:dyDescent="0.7">
      <c r="N671" s="86"/>
      <c r="O671" s="86"/>
    </row>
    <row r="672" spans="14:15" ht="15.5" x14ac:dyDescent="0.7">
      <c r="N672" s="86"/>
      <c r="O672" s="86"/>
    </row>
    <row r="673" spans="14:15" ht="15.5" x14ac:dyDescent="0.7">
      <c r="N673" s="86"/>
      <c r="O673" s="86"/>
    </row>
    <row r="674" spans="14:15" ht="15.5" x14ac:dyDescent="0.7">
      <c r="N674" s="86"/>
      <c r="O674" s="86"/>
    </row>
    <row r="675" spans="14:15" ht="15.5" x14ac:dyDescent="0.7">
      <c r="N675" s="86"/>
      <c r="O675" s="86"/>
    </row>
    <row r="676" spans="14:15" ht="15.5" x14ac:dyDescent="0.7">
      <c r="N676" s="86"/>
      <c r="O676" s="86"/>
    </row>
    <row r="677" spans="14:15" ht="15.5" x14ac:dyDescent="0.7">
      <c r="N677" s="86"/>
      <c r="O677" s="86"/>
    </row>
    <row r="678" spans="14:15" ht="15.5" x14ac:dyDescent="0.7">
      <c r="N678" s="86"/>
      <c r="O678" s="86"/>
    </row>
    <row r="679" spans="14:15" ht="15.5" x14ac:dyDescent="0.7">
      <c r="N679" s="86"/>
      <c r="O679" s="86"/>
    </row>
    <row r="680" spans="14:15" ht="15.5" x14ac:dyDescent="0.7">
      <c r="N680" s="86"/>
      <c r="O680" s="86"/>
    </row>
    <row r="681" spans="14:15" ht="15.5" x14ac:dyDescent="0.7">
      <c r="N681" s="86"/>
      <c r="O681" s="86"/>
    </row>
    <row r="682" spans="14:15" ht="15.5" x14ac:dyDescent="0.7">
      <c r="N682" s="86"/>
      <c r="O682" s="86"/>
    </row>
    <row r="683" spans="14:15" ht="15.5" x14ac:dyDescent="0.7">
      <c r="N683" s="86"/>
      <c r="O683" s="86"/>
    </row>
    <row r="684" spans="14:15" ht="15.5" x14ac:dyDescent="0.7">
      <c r="N684" s="86"/>
      <c r="O684" s="86"/>
    </row>
    <row r="685" spans="14:15" ht="15.5" x14ac:dyDescent="0.7">
      <c r="N685" s="86"/>
      <c r="O685" s="86"/>
    </row>
    <row r="686" spans="14:15" ht="15.5" x14ac:dyDescent="0.7">
      <c r="N686" s="86"/>
      <c r="O686" s="86"/>
    </row>
    <row r="687" spans="14:15" ht="15.5" x14ac:dyDescent="0.7">
      <c r="N687" s="86"/>
      <c r="O687" s="86"/>
    </row>
    <row r="688" spans="14:15" ht="15.5" x14ac:dyDescent="0.7">
      <c r="N688" s="86"/>
      <c r="O688" s="86"/>
    </row>
    <row r="689" spans="14:15" ht="15.5" x14ac:dyDescent="0.7">
      <c r="N689" s="86"/>
      <c r="O689" s="86"/>
    </row>
    <row r="690" spans="14:15" ht="15.5" x14ac:dyDescent="0.7">
      <c r="N690" s="86"/>
      <c r="O690" s="86"/>
    </row>
    <row r="691" spans="14:15" ht="15.5" x14ac:dyDescent="0.7">
      <c r="N691" s="86"/>
      <c r="O691" s="86"/>
    </row>
    <row r="692" spans="14:15" ht="15.5" x14ac:dyDescent="0.7">
      <c r="N692" s="86"/>
      <c r="O692" s="86"/>
    </row>
    <row r="693" spans="14:15" ht="15.5" x14ac:dyDescent="0.7">
      <c r="N693" s="86"/>
      <c r="O693" s="86"/>
    </row>
    <row r="694" spans="14:15" ht="15.5" x14ac:dyDescent="0.7">
      <c r="N694" s="86"/>
      <c r="O694" s="86"/>
    </row>
    <row r="695" spans="14:15" ht="15.5" x14ac:dyDescent="0.7">
      <c r="N695" s="86"/>
      <c r="O695" s="86"/>
    </row>
    <row r="696" spans="14:15" ht="15.5" x14ac:dyDescent="0.7">
      <c r="N696" s="86"/>
      <c r="O696" s="86"/>
    </row>
    <row r="697" spans="14:15" ht="15.5" x14ac:dyDescent="0.7">
      <c r="N697" s="86"/>
      <c r="O697" s="86"/>
    </row>
    <row r="698" spans="14:15" ht="15.5" x14ac:dyDescent="0.7">
      <c r="N698" s="86"/>
      <c r="O698" s="86"/>
    </row>
    <row r="699" spans="14:15" ht="15.5" x14ac:dyDescent="0.7">
      <c r="N699" s="86"/>
      <c r="O699" s="86"/>
    </row>
    <row r="700" spans="14:15" ht="15.5" x14ac:dyDescent="0.7">
      <c r="N700" s="86"/>
      <c r="O700" s="86"/>
    </row>
    <row r="701" spans="14:15" ht="15.5" x14ac:dyDescent="0.7">
      <c r="N701" s="86"/>
      <c r="O701" s="86"/>
    </row>
    <row r="702" spans="14:15" ht="15.5" x14ac:dyDescent="0.7">
      <c r="N702" s="86"/>
      <c r="O702" s="86"/>
    </row>
    <row r="703" spans="14:15" ht="15.5" x14ac:dyDescent="0.7">
      <c r="N703" s="86"/>
      <c r="O703" s="86"/>
    </row>
    <row r="704" spans="14:15" ht="15.5" x14ac:dyDescent="0.7">
      <c r="N704" s="86"/>
      <c r="O704" s="86"/>
    </row>
    <row r="705" spans="14:15" ht="15.5" x14ac:dyDescent="0.7">
      <c r="N705" s="86"/>
      <c r="O705" s="86"/>
    </row>
    <row r="706" spans="14:15" ht="15.5" x14ac:dyDescent="0.7">
      <c r="N706" s="86"/>
      <c r="O706" s="86"/>
    </row>
    <row r="707" spans="14:15" ht="15.5" x14ac:dyDescent="0.7">
      <c r="N707" s="86"/>
      <c r="O707" s="86"/>
    </row>
    <row r="708" spans="14:15" ht="15.5" x14ac:dyDescent="0.7">
      <c r="N708" s="86"/>
      <c r="O708" s="86"/>
    </row>
    <row r="709" spans="14:15" ht="15.5" x14ac:dyDescent="0.7">
      <c r="N709" s="86"/>
      <c r="O709" s="86"/>
    </row>
    <row r="710" spans="14:15" ht="15.5" x14ac:dyDescent="0.7">
      <c r="N710" s="86"/>
      <c r="O710" s="86"/>
    </row>
    <row r="711" spans="14:15" ht="15.5" x14ac:dyDescent="0.7">
      <c r="N711" s="86"/>
      <c r="O711" s="86"/>
    </row>
    <row r="712" spans="14:15" ht="15.5" x14ac:dyDescent="0.7">
      <c r="N712" s="86"/>
      <c r="O712" s="86"/>
    </row>
    <row r="713" spans="14:15" ht="15.5" x14ac:dyDescent="0.7">
      <c r="N713" s="86"/>
      <c r="O713" s="86"/>
    </row>
    <row r="714" spans="14:15" ht="15.5" x14ac:dyDescent="0.7">
      <c r="N714" s="86"/>
      <c r="O714" s="86"/>
    </row>
    <row r="715" spans="14:15" ht="15.5" x14ac:dyDescent="0.7">
      <c r="N715" s="86"/>
      <c r="O715" s="86"/>
    </row>
    <row r="716" spans="14:15" ht="15.5" x14ac:dyDescent="0.7">
      <c r="N716" s="86"/>
      <c r="O716" s="86"/>
    </row>
    <row r="717" spans="14:15" ht="15.5" x14ac:dyDescent="0.7">
      <c r="N717" s="86"/>
      <c r="O717" s="86"/>
    </row>
    <row r="718" spans="14:15" ht="15.5" x14ac:dyDescent="0.7">
      <c r="N718" s="86"/>
      <c r="O718" s="86"/>
    </row>
    <row r="719" spans="14:15" ht="15.5" x14ac:dyDescent="0.7">
      <c r="N719" s="86"/>
      <c r="O719" s="86"/>
    </row>
    <row r="720" spans="14:15" ht="15.5" x14ac:dyDescent="0.7">
      <c r="N720" s="86"/>
      <c r="O720" s="86"/>
    </row>
    <row r="721" spans="14:15" ht="15.5" x14ac:dyDescent="0.7">
      <c r="N721" s="86"/>
      <c r="O721" s="86"/>
    </row>
    <row r="722" spans="14:15" ht="15.5" x14ac:dyDescent="0.7">
      <c r="N722" s="86"/>
      <c r="O722" s="86"/>
    </row>
    <row r="723" spans="14:15" ht="15.5" x14ac:dyDescent="0.7">
      <c r="N723" s="86"/>
      <c r="O723" s="86"/>
    </row>
    <row r="724" spans="14:15" ht="15.5" x14ac:dyDescent="0.7">
      <c r="N724" s="86"/>
      <c r="O724" s="86"/>
    </row>
    <row r="725" spans="14:15" ht="15.5" x14ac:dyDescent="0.7">
      <c r="N725" s="86"/>
      <c r="O725" s="86"/>
    </row>
    <row r="726" spans="14:15" ht="15.5" x14ac:dyDescent="0.7">
      <c r="N726" s="86"/>
      <c r="O726" s="86"/>
    </row>
    <row r="727" spans="14:15" ht="15.5" x14ac:dyDescent="0.7">
      <c r="N727" s="86"/>
      <c r="O727" s="86"/>
    </row>
    <row r="728" spans="14:15" ht="15.5" x14ac:dyDescent="0.7">
      <c r="N728" s="86"/>
      <c r="O728" s="86"/>
    </row>
    <row r="729" spans="14:15" ht="15.5" x14ac:dyDescent="0.7">
      <c r="N729" s="86"/>
      <c r="O729" s="86"/>
    </row>
    <row r="730" spans="14:15" ht="15.5" x14ac:dyDescent="0.7">
      <c r="N730" s="86"/>
      <c r="O730" s="86"/>
    </row>
    <row r="731" spans="14:15" ht="15.5" x14ac:dyDescent="0.7">
      <c r="N731" s="86"/>
      <c r="O731" s="86"/>
    </row>
    <row r="732" spans="14:15" ht="15.5" x14ac:dyDescent="0.7">
      <c r="N732" s="86"/>
      <c r="O732" s="86"/>
    </row>
    <row r="733" spans="14:15" ht="15.5" x14ac:dyDescent="0.7">
      <c r="N733" s="86"/>
      <c r="O733" s="86"/>
    </row>
    <row r="734" spans="14:15" ht="15.5" x14ac:dyDescent="0.7">
      <c r="N734" s="86"/>
      <c r="O734" s="86"/>
    </row>
    <row r="735" spans="14:15" ht="15.5" x14ac:dyDescent="0.7">
      <c r="N735" s="86"/>
      <c r="O735" s="86"/>
    </row>
    <row r="736" spans="14:15" ht="15.5" x14ac:dyDescent="0.7">
      <c r="N736" s="86"/>
      <c r="O736" s="86"/>
    </row>
    <row r="737" spans="14:15" ht="15.5" x14ac:dyDescent="0.7">
      <c r="N737" s="86"/>
      <c r="O737" s="86"/>
    </row>
    <row r="738" spans="14:15" ht="15.5" x14ac:dyDescent="0.7">
      <c r="N738" s="86"/>
      <c r="O738" s="86"/>
    </row>
    <row r="739" spans="14:15" ht="15.5" x14ac:dyDescent="0.7">
      <c r="N739" s="86"/>
      <c r="O739" s="86"/>
    </row>
    <row r="740" spans="14:15" ht="15.5" x14ac:dyDescent="0.7">
      <c r="N740" s="86"/>
      <c r="O740" s="86"/>
    </row>
    <row r="741" spans="14:15" ht="15.5" x14ac:dyDescent="0.7">
      <c r="N741" s="86"/>
      <c r="O741" s="86"/>
    </row>
    <row r="742" spans="14:15" ht="15.5" x14ac:dyDescent="0.7">
      <c r="N742" s="86"/>
      <c r="O742" s="86"/>
    </row>
    <row r="743" spans="14:15" ht="15.5" x14ac:dyDescent="0.7">
      <c r="N743" s="86"/>
      <c r="O743" s="86"/>
    </row>
    <row r="744" spans="14:15" ht="15.5" x14ac:dyDescent="0.7">
      <c r="N744" s="86"/>
      <c r="O744" s="86"/>
    </row>
    <row r="745" spans="14:15" ht="15.5" x14ac:dyDescent="0.7">
      <c r="N745" s="86"/>
      <c r="O745" s="86"/>
    </row>
    <row r="746" spans="14:15" ht="15.5" x14ac:dyDescent="0.7">
      <c r="N746" s="86"/>
      <c r="O746" s="86"/>
    </row>
    <row r="747" spans="14:15" ht="15.5" x14ac:dyDescent="0.7">
      <c r="N747" s="86"/>
      <c r="O747" s="86"/>
    </row>
    <row r="748" spans="14:15" ht="15.5" x14ac:dyDescent="0.7">
      <c r="N748" s="86"/>
      <c r="O748" s="86"/>
    </row>
    <row r="749" spans="14:15" ht="15.5" x14ac:dyDescent="0.7">
      <c r="N749" s="86"/>
      <c r="O749" s="86"/>
    </row>
    <row r="750" spans="14:15" ht="15.5" x14ac:dyDescent="0.7">
      <c r="N750" s="86"/>
      <c r="O750" s="86"/>
    </row>
    <row r="751" spans="14:15" ht="15.5" x14ac:dyDescent="0.7">
      <c r="N751" s="86"/>
      <c r="O751" s="86"/>
    </row>
    <row r="752" spans="14:15" ht="15.5" x14ac:dyDescent="0.7">
      <c r="N752" s="86"/>
      <c r="O752" s="86"/>
    </row>
    <row r="753" spans="14:15" ht="15.5" x14ac:dyDescent="0.7">
      <c r="N753" s="86"/>
      <c r="O753" s="86"/>
    </row>
    <row r="754" spans="14:15" ht="15.5" x14ac:dyDescent="0.7">
      <c r="N754" s="86"/>
      <c r="O754" s="86"/>
    </row>
    <row r="755" spans="14:15" ht="15.5" x14ac:dyDescent="0.7">
      <c r="N755" s="86"/>
      <c r="O755" s="86"/>
    </row>
    <row r="756" spans="14:15" ht="15.5" x14ac:dyDescent="0.7">
      <c r="N756" s="86"/>
      <c r="O756" s="86"/>
    </row>
    <row r="757" spans="14:15" ht="15.5" x14ac:dyDescent="0.7">
      <c r="N757" s="86"/>
      <c r="O757" s="86"/>
    </row>
    <row r="758" spans="14:15" ht="15.5" x14ac:dyDescent="0.7">
      <c r="N758" s="86"/>
      <c r="O758" s="86"/>
    </row>
    <row r="759" spans="14:15" ht="15.5" x14ac:dyDescent="0.7">
      <c r="N759" s="86"/>
      <c r="O759" s="86"/>
    </row>
    <row r="760" spans="14:15" ht="15.5" x14ac:dyDescent="0.7">
      <c r="N760" s="86"/>
      <c r="O760" s="86"/>
    </row>
    <row r="761" spans="14:15" ht="15.5" x14ac:dyDescent="0.7">
      <c r="N761" s="86"/>
      <c r="O761" s="86"/>
    </row>
    <row r="762" spans="14:15" ht="15.5" x14ac:dyDescent="0.7">
      <c r="N762" s="86"/>
      <c r="O762" s="86"/>
    </row>
    <row r="763" spans="14:15" ht="15.5" x14ac:dyDescent="0.7">
      <c r="N763" s="86"/>
      <c r="O763" s="86"/>
    </row>
    <row r="764" spans="14:15" ht="15.5" x14ac:dyDescent="0.7">
      <c r="N764" s="86"/>
      <c r="O764" s="86"/>
    </row>
    <row r="765" spans="14:15" ht="15.5" x14ac:dyDescent="0.7">
      <c r="N765" s="86"/>
      <c r="O765" s="86"/>
    </row>
    <row r="766" spans="14:15" ht="15.5" x14ac:dyDescent="0.7">
      <c r="N766" s="86"/>
      <c r="O766" s="86"/>
    </row>
    <row r="767" spans="14:15" ht="15.5" x14ac:dyDescent="0.7">
      <c r="N767" s="86"/>
      <c r="O767" s="86"/>
    </row>
    <row r="768" spans="14:15" ht="15.5" x14ac:dyDescent="0.7">
      <c r="N768" s="86"/>
      <c r="O768" s="86"/>
    </row>
    <row r="769" spans="14:15" ht="15.5" x14ac:dyDescent="0.7">
      <c r="N769" s="86"/>
      <c r="O769" s="86"/>
    </row>
    <row r="770" spans="14:15" ht="15.5" x14ac:dyDescent="0.7">
      <c r="N770" s="86"/>
      <c r="O770" s="86"/>
    </row>
    <row r="771" spans="14:15" ht="15.5" x14ac:dyDescent="0.7">
      <c r="N771" s="86"/>
      <c r="O771" s="86"/>
    </row>
    <row r="772" spans="14:15" ht="15.5" x14ac:dyDescent="0.7">
      <c r="N772" s="86"/>
      <c r="O772" s="86"/>
    </row>
    <row r="773" spans="14:15" ht="15.5" x14ac:dyDescent="0.7">
      <c r="N773" s="86"/>
      <c r="O773" s="86"/>
    </row>
    <row r="774" spans="14:15" ht="15.5" x14ac:dyDescent="0.7">
      <c r="N774" s="86"/>
      <c r="O774" s="86"/>
    </row>
    <row r="775" spans="14:15" ht="15.5" x14ac:dyDescent="0.7">
      <c r="N775" s="86"/>
      <c r="O775" s="86"/>
    </row>
    <row r="776" spans="14:15" ht="15.5" x14ac:dyDescent="0.7">
      <c r="N776" s="86"/>
      <c r="O776" s="86"/>
    </row>
    <row r="777" spans="14:15" ht="15.5" x14ac:dyDescent="0.7">
      <c r="N777" s="86"/>
      <c r="O777" s="86"/>
    </row>
    <row r="778" spans="14:15" ht="15.5" x14ac:dyDescent="0.7">
      <c r="N778" s="86"/>
      <c r="O778" s="86"/>
    </row>
    <row r="779" spans="14:15" ht="15.5" x14ac:dyDescent="0.7">
      <c r="N779" s="86"/>
      <c r="O779" s="86"/>
    </row>
    <row r="780" spans="14:15" ht="15.5" x14ac:dyDescent="0.7">
      <c r="N780" s="86"/>
      <c r="O780" s="86"/>
    </row>
    <row r="781" spans="14:15" ht="15.5" x14ac:dyDescent="0.7">
      <c r="N781" s="86"/>
      <c r="O781" s="86"/>
    </row>
    <row r="782" spans="14:15" ht="15.5" x14ac:dyDescent="0.7">
      <c r="N782" s="86"/>
      <c r="O782" s="86"/>
    </row>
    <row r="783" spans="14:15" ht="15.5" x14ac:dyDescent="0.7">
      <c r="N783" s="86"/>
      <c r="O783" s="86"/>
    </row>
    <row r="784" spans="14:15" ht="15.5" x14ac:dyDescent="0.7">
      <c r="N784" s="86"/>
      <c r="O784" s="86"/>
    </row>
    <row r="785" spans="14:15" ht="15.5" x14ac:dyDescent="0.7">
      <c r="N785" s="86"/>
      <c r="O785" s="86"/>
    </row>
    <row r="786" spans="14:15" ht="15.5" x14ac:dyDescent="0.7">
      <c r="N786" s="86"/>
      <c r="O786" s="86"/>
    </row>
    <row r="787" spans="14:15" ht="15.5" x14ac:dyDescent="0.7">
      <c r="N787" s="86"/>
      <c r="O787" s="86"/>
    </row>
    <row r="788" spans="14:15" ht="15.5" x14ac:dyDescent="0.7">
      <c r="N788" s="86"/>
      <c r="O788" s="86"/>
    </row>
    <row r="789" spans="14:15" ht="15.5" x14ac:dyDescent="0.7">
      <c r="N789" s="86"/>
      <c r="O789" s="86"/>
    </row>
    <row r="790" spans="14:15" ht="15.5" x14ac:dyDescent="0.7">
      <c r="N790" s="86"/>
      <c r="O790" s="86"/>
    </row>
    <row r="791" spans="14:15" ht="15.5" x14ac:dyDescent="0.7">
      <c r="N791" s="86"/>
      <c r="O791" s="86"/>
    </row>
    <row r="792" spans="14:15" ht="15.5" x14ac:dyDescent="0.7">
      <c r="N792" s="86"/>
      <c r="O792" s="86"/>
    </row>
    <row r="793" spans="14:15" ht="15.5" x14ac:dyDescent="0.7">
      <c r="N793" s="86"/>
      <c r="O793" s="86"/>
    </row>
    <row r="794" spans="14:15" ht="15.5" x14ac:dyDescent="0.7">
      <c r="N794" s="86"/>
      <c r="O794" s="86"/>
    </row>
    <row r="795" spans="14:15" ht="15.5" x14ac:dyDescent="0.7">
      <c r="N795" s="86"/>
      <c r="O795" s="86"/>
    </row>
    <row r="796" spans="14:15" ht="15.5" x14ac:dyDescent="0.7">
      <c r="N796" s="86"/>
      <c r="O796" s="86"/>
    </row>
    <row r="797" spans="14:15" ht="15.5" x14ac:dyDescent="0.7">
      <c r="N797" s="86"/>
      <c r="O797" s="86"/>
    </row>
    <row r="798" spans="14:15" ht="15.5" x14ac:dyDescent="0.7">
      <c r="N798" s="86"/>
      <c r="O798" s="86"/>
    </row>
    <row r="799" spans="14:15" ht="15.5" x14ac:dyDescent="0.7">
      <c r="N799" s="86"/>
      <c r="O799" s="86"/>
    </row>
    <row r="800" spans="14:15" ht="15.5" x14ac:dyDescent="0.7">
      <c r="N800" s="86"/>
      <c r="O800" s="86"/>
    </row>
    <row r="801" spans="14:15" ht="15.5" x14ac:dyDescent="0.7">
      <c r="N801" s="86"/>
      <c r="O801" s="86"/>
    </row>
    <row r="802" spans="14:15" ht="15.5" x14ac:dyDescent="0.7">
      <c r="N802" s="86"/>
      <c r="O802" s="86"/>
    </row>
    <row r="803" spans="14:15" ht="15.5" x14ac:dyDescent="0.7">
      <c r="N803" s="86"/>
      <c r="O803" s="86"/>
    </row>
    <row r="804" spans="14:15" ht="15.5" x14ac:dyDescent="0.7">
      <c r="N804" s="86"/>
      <c r="O804" s="86"/>
    </row>
    <row r="805" spans="14:15" ht="15.5" x14ac:dyDescent="0.7">
      <c r="N805" s="86"/>
      <c r="O805" s="86"/>
    </row>
    <row r="806" spans="14:15" ht="15.5" x14ac:dyDescent="0.7">
      <c r="N806" s="86"/>
      <c r="O806" s="86"/>
    </row>
    <row r="807" spans="14:15" ht="15.5" x14ac:dyDescent="0.7">
      <c r="N807" s="86"/>
      <c r="O807" s="86"/>
    </row>
    <row r="808" spans="14:15" ht="15.5" x14ac:dyDescent="0.7">
      <c r="N808" s="86"/>
      <c r="O808" s="86"/>
    </row>
    <row r="809" spans="14:15" ht="15.5" x14ac:dyDescent="0.7">
      <c r="N809" s="86"/>
      <c r="O809" s="86"/>
    </row>
    <row r="810" spans="14:15" ht="15.5" x14ac:dyDescent="0.7">
      <c r="N810" s="86"/>
      <c r="O810" s="86"/>
    </row>
    <row r="811" spans="14:15" ht="15.5" x14ac:dyDescent="0.7">
      <c r="N811" s="86"/>
      <c r="O811" s="86"/>
    </row>
    <row r="812" spans="14:15" ht="15.5" x14ac:dyDescent="0.7">
      <c r="N812" s="86"/>
      <c r="O812" s="86"/>
    </row>
    <row r="813" spans="14:15" ht="15.5" x14ac:dyDescent="0.7">
      <c r="N813" s="86"/>
      <c r="O813" s="86"/>
    </row>
    <row r="814" spans="14:15" ht="15.5" x14ac:dyDescent="0.7">
      <c r="N814" s="86"/>
      <c r="O814" s="86"/>
    </row>
    <row r="815" spans="14:15" ht="15.5" x14ac:dyDescent="0.7">
      <c r="N815" s="86"/>
      <c r="O815" s="86"/>
    </row>
    <row r="816" spans="14:15" ht="15.5" x14ac:dyDescent="0.7">
      <c r="N816" s="86"/>
      <c r="O816" s="86"/>
    </row>
    <row r="817" spans="14:15" ht="15.5" x14ac:dyDescent="0.7">
      <c r="N817" s="86"/>
      <c r="O817" s="86"/>
    </row>
    <row r="818" spans="14:15" ht="15.5" x14ac:dyDescent="0.7">
      <c r="N818" s="86"/>
      <c r="O818" s="86"/>
    </row>
    <row r="819" spans="14:15" ht="15.5" x14ac:dyDescent="0.7">
      <c r="N819" s="86"/>
      <c r="O819" s="86"/>
    </row>
    <row r="820" spans="14:15" ht="15.5" x14ac:dyDescent="0.7">
      <c r="N820" s="86"/>
      <c r="O820" s="86"/>
    </row>
    <row r="821" spans="14:15" ht="15.5" x14ac:dyDescent="0.7">
      <c r="N821" s="86"/>
      <c r="O821" s="86"/>
    </row>
    <row r="822" spans="14:15" ht="15.5" x14ac:dyDescent="0.7">
      <c r="N822" s="86"/>
      <c r="O822" s="86"/>
    </row>
    <row r="823" spans="14:15" ht="15.5" x14ac:dyDescent="0.7">
      <c r="N823" s="86"/>
      <c r="O823" s="86"/>
    </row>
    <row r="824" spans="14:15" ht="15.5" x14ac:dyDescent="0.7">
      <c r="N824" s="86"/>
      <c r="O824" s="86"/>
    </row>
    <row r="825" spans="14:15" ht="15.5" x14ac:dyDescent="0.7">
      <c r="N825" s="86"/>
      <c r="O825" s="86"/>
    </row>
    <row r="826" spans="14:15" ht="15.5" x14ac:dyDescent="0.7">
      <c r="N826" s="86"/>
      <c r="O826" s="86"/>
    </row>
    <row r="827" spans="14:15" ht="15.5" x14ac:dyDescent="0.7">
      <c r="N827" s="86"/>
      <c r="O827" s="86"/>
    </row>
    <row r="828" spans="14:15" ht="15.5" x14ac:dyDescent="0.7">
      <c r="N828" s="86"/>
      <c r="O828" s="86"/>
    </row>
    <row r="829" spans="14:15" ht="15.5" x14ac:dyDescent="0.7">
      <c r="N829" s="86"/>
      <c r="O829" s="86"/>
    </row>
    <row r="830" spans="14:15" ht="15.5" x14ac:dyDescent="0.7">
      <c r="N830" s="86"/>
      <c r="O830" s="86"/>
    </row>
    <row r="831" spans="14:15" ht="15.5" x14ac:dyDescent="0.7">
      <c r="N831" s="86"/>
      <c r="O831" s="86"/>
    </row>
    <row r="832" spans="14:15" ht="15.5" x14ac:dyDescent="0.7">
      <c r="N832" s="86"/>
      <c r="O832" s="86"/>
    </row>
    <row r="833" spans="14:15" ht="15.5" x14ac:dyDescent="0.7">
      <c r="N833" s="86"/>
      <c r="O833" s="86"/>
    </row>
    <row r="834" spans="14:15" ht="15.5" x14ac:dyDescent="0.7">
      <c r="N834" s="86"/>
      <c r="O834" s="86"/>
    </row>
    <row r="835" spans="14:15" ht="15.5" x14ac:dyDescent="0.7">
      <c r="N835" s="86"/>
      <c r="O835" s="86"/>
    </row>
    <row r="836" spans="14:15" ht="15.5" x14ac:dyDescent="0.7">
      <c r="N836" s="86"/>
      <c r="O836" s="86"/>
    </row>
    <row r="837" spans="14:15" ht="15.5" x14ac:dyDescent="0.7">
      <c r="N837" s="86"/>
      <c r="O837" s="86"/>
    </row>
    <row r="838" spans="14:15" ht="15.5" x14ac:dyDescent="0.7">
      <c r="N838" s="86"/>
      <c r="O838" s="86"/>
    </row>
    <row r="839" spans="14:15" ht="15.5" x14ac:dyDescent="0.7">
      <c r="N839" s="86"/>
      <c r="O839" s="86"/>
    </row>
    <row r="840" spans="14:15" ht="15.5" x14ac:dyDescent="0.7">
      <c r="N840" s="86"/>
      <c r="O840" s="86"/>
    </row>
    <row r="841" spans="14:15" ht="15.5" x14ac:dyDescent="0.7">
      <c r="N841" s="86"/>
      <c r="O841" s="86"/>
    </row>
    <row r="842" spans="14:15" ht="15.5" x14ac:dyDescent="0.7">
      <c r="N842" s="86"/>
      <c r="O842" s="86"/>
    </row>
    <row r="843" spans="14:15" ht="15.5" x14ac:dyDescent="0.7">
      <c r="N843" s="86"/>
      <c r="O843" s="86"/>
    </row>
    <row r="844" spans="14:15" ht="15.5" x14ac:dyDescent="0.7">
      <c r="N844" s="86"/>
      <c r="O844" s="86"/>
    </row>
    <row r="845" spans="14:15" ht="15.5" x14ac:dyDescent="0.7">
      <c r="N845" s="86"/>
      <c r="O845" s="86"/>
    </row>
    <row r="846" spans="14:15" ht="15.5" x14ac:dyDescent="0.7">
      <c r="N846" s="86"/>
      <c r="O846" s="86"/>
    </row>
    <row r="847" spans="14:15" ht="15.5" x14ac:dyDescent="0.7">
      <c r="N847" s="86"/>
      <c r="O847" s="86"/>
    </row>
    <row r="848" spans="14:15" ht="15.5" x14ac:dyDescent="0.7">
      <c r="N848" s="86"/>
      <c r="O848" s="86"/>
    </row>
    <row r="849" spans="14:15" ht="15.5" x14ac:dyDescent="0.7">
      <c r="N849" s="86"/>
      <c r="O849" s="86"/>
    </row>
    <row r="850" spans="14:15" ht="15.5" x14ac:dyDescent="0.7">
      <c r="N850" s="86"/>
      <c r="O850" s="86"/>
    </row>
    <row r="851" spans="14:15" ht="15.5" x14ac:dyDescent="0.7">
      <c r="N851" s="86"/>
      <c r="O851" s="86"/>
    </row>
    <row r="852" spans="14:15" ht="15.5" x14ac:dyDescent="0.7">
      <c r="N852" s="86"/>
      <c r="O852" s="86"/>
    </row>
    <row r="853" spans="14:15" ht="15.5" x14ac:dyDescent="0.7">
      <c r="N853" s="86"/>
      <c r="O853" s="86"/>
    </row>
    <row r="854" spans="14:15" ht="15.5" x14ac:dyDescent="0.7">
      <c r="N854" s="86"/>
      <c r="O854" s="86"/>
    </row>
    <row r="855" spans="14:15" ht="15.5" x14ac:dyDescent="0.7">
      <c r="N855" s="86"/>
      <c r="O855" s="86"/>
    </row>
    <row r="856" spans="14:15" ht="15.5" x14ac:dyDescent="0.7">
      <c r="N856" s="86"/>
      <c r="O856" s="86"/>
    </row>
    <row r="857" spans="14:15" ht="15.5" x14ac:dyDescent="0.7">
      <c r="N857" s="86"/>
      <c r="O857" s="86"/>
    </row>
    <row r="858" spans="14:15" ht="15.5" x14ac:dyDescent="0.7">
      <c r="N858" s="86"/>
      <c r="O858" s="86"/>
    </row>
    <row r="859" spans="14:15" ht="15.5" x14ac:dyDescent="0.7">
      <c r="N859" s="86"/>
      <c r="O859" s="86"/>
    </row>
    <row r="860" spans="14:15" ht="15.5" x14ac:dyDescent="0.7">
      <c r="N860" s="86"/>
      <c r="O860" s="86"/>
    </row>
    <row r="861" spans="14:15" ht="15.5" x14ac:dyDescent="0.7">
      <c r="N861" s="86"/>
      <c r="O861" s="86"/>
    </row>
    <row r="862" spans="14:15" ht="15.5" x14ac:dyDescent="0.7">
      <c r="N862" s="86"/>
      <c r="O862" s="86"/>
    </row>
    <row r="863" spans="14:15" ht="15.5" x14ac:dyDescent="0.7">
      <c r="N863" s="86"/>
      <c r="O863" s="86"/>
    </row>
    <row r="864" spans="14:15" ht="15.5" x14ac:dyDescent="0.7">
      <c r="N864" s="86"/>
      <c r="O864" s="86"/>
    </row>
    <row r="865" spans="14:15" ht="15.5" x14ac:dyDescent="0.7">
      <c r="N865" s="86"/>
      <c r="O865" s="86"/>
    </row>
    <row r="866" spans="14:15" ht="15.5" x14ac:dyDescent="0.7">
      <c r="N866" s="86"/>
      <c r="O866" s="86"/>
    </row>
    <row r="867" spans="14:15" ht="15.5" x14ac:dyDescent="0.7">
      <c r="N867" s="86"/>
      <c r="O867" s="86"/>
    </row>
    <row r="868" spans="14:15" ht="15.5" x14ac:dyDescent="0.7">
      <c r="N868" s="86"/>
      <c r="O868" s="86"/>
    </row>
    <row r="869" spans="14:15" ht="15.5" x14ac:dyDescent="0.7">
      <c r="N869" s="86"/>
      <c r="O869" s="86"/>
    </row>
    <row r="870" spans="14:15" ht="15.5" x14ac:dyDescent="0.7">
      <c r="N870" s="86"/>
      <c r="O870" s="86"/>
    </row>
    <row r="871" spans="14:15" ht="15.5" x14ac:dyDescent="0.7">
      <c r="N871" s="86"/>
      <c r="O871" s="86"/>
    </row>
    <row r="872" spans="14:15" ht="15.5" x14ac:dyDescent="0.7">
      <c r="N872" s="86"/>
      <c r="O872" s="86"/>
    </row>
    <row r="873" spans="14:15" ht="15.5" x14ac:dyDescent="0.7">
      <c r="N873" s="86"/>
      <c r="O873" s="86"/>
    </row>
    <row r="874" spans="14:15" ht="15.5" x14ac:dyDescent="0.7">
      <c r="N874" s="86"/>
      <c r="O874" s="86"/>
    </row>
    <row r="875" spans="14:15" ht="15.5" x14ac:dyDescent="0.7">
      <c r="N875" s="86"/>
      <c r="O875" s="86"/>
    </row>
    <row r="876" spans="14:15" ht="15.5" x14ac:dyDescent="0.7">
      <c r="N876" s="86"/>
      <c r="O876" s="86"/>
    </row>
    <row r="877" spans="14:15" ht="15.5" x14ac:dyDescent="0.7">
      <c r="N877" s="86"/>
      <c r="O877" s="86"/>
    </row>
    <row r="878" spans="14:15" ht="15.5" x14ac:dyDescent="0.7">
      <c r="N878" s="86"/>
      <c r="O878" s="86"/>
    </row>
    <row r="879" spans="14:15" ht="15.5" x14ac:dyDescent="0.7">
      <c r="N879" s="86"/>
      <c r="O879" s="86"/>
    </row>
    <row r="880" spans="14:15" ht="15.5" x14ac:dyDescent="0.7">
      <c r="N880" s="86"/>
      <c r="O880" s="86"/>
    </row>
    <row r="881" spans="14:15" ht="15.5" x14ac:dyDescent="0.7">
      <c r="N881" s="86"/>
      <c r="O881" s="86"/>
    </row>
    <row r="882" spans="14:15" ht="15.5" x14ac:dyDescent="0.7">
      <c r="N882" s="86"/>
      <c r="O882" s="86"/>
    </row>
    <row r="883" spans="14:15" ht="15.5" x14ac:dyDescent="0.7">
      <c r="N883" s="86"/>
      <c r="O883" s="86"/>
    </row>
    <row r="884" spans="14:15" ht="15.5" x14ac:dyDescent="0.7">
      <c r="N884" s="86"/>
      <c r="O884" s="86"/>
    </row>
    <row r="885" spans="14:15" ht="15.5" x14ac:dyDescent="0.7">
      <c r="N885" s="86"/>
      <c r="O885" s="86"/>
    </row>
    <row r="886" spans="14:15" ht="15.5" x14ac:dyDescent="0.7">
      <c r="N886" s="86"/>
      <c r="O886" s="86"/>
    </row>
    <row r="887" spans="14:15" ht="15.5" x14ac:dyDescent="0.7">
      <c r="N887" s="86"/>
      <c r="O887" s="86"/>
    </row>
    <row r="888" spans="14:15" ht="15.5" x14ac:dyDescent="0.7">
      <c r="N888" s="86"/>
      <c r="O888" s="86"/>
    </row>
    <row r="889" spans="14:15" ht="15.5" x14ac:dyDescent="0.7">
      <c r="N889" s="86"/>
      <c r="O889" s="86"/>
    </row>
    <row r="890" spans="14:15" ht="15.5" x14ac:dyDescent="0.7">
      <c r="N890" s="86"/>
      <c r="O890" s="86"/>
    </row>
    <row r="891" spans="14:15" ht="15.5" x14ac:dyDescent="0.7">
      <c r="N891" s="86"/>
      <c r="O891" s="86"/>
    </row>
    <row r="892" spans="14:15" ht="15.5" x14ac:dyDescent="0.7">
      <c r="N892" s="86"/>
      <c r="O892" s="86"/>
    </row>
    <row r="893" spans="14:15" ht="15.5" x14ac:dyDescent="0.7">
      <c r="N893" s="86"/>
      <c r="O893" s="86"/>
    </row>
    <row r="894" spans="14:15" ht="15.5" x14ac:dyDescent="0.7">
      <c r="N894" s="86"/>
      <c r="O894" s="86"/>
    </row>
    <row r="895" spans="14:15" ht="15.5" x14ac:dyDescent="0.7">
      <c r="N895" s="86"/>
      <c r="O895" s="86"/>
    </row>
    <row r="896" spans="14:15" ht="15.5" x14ac:dyDescent="0.7">
      <c r="N896" s="86"/>
      <c r="O896" s="86"/>
    </row>
    <row r="897" spans="14:15" ht="15.5" x14ac:dyDescent="0.7">
      <c r="N897" s="86"/>
      <c r="O897" s="86"/>
    </row>
    <row r="898" spans="14:15" ht="15.5" x14ac:dyDescent="0.7">
      <c r="N898" s="86"/>
      <c r="O898" s="86"/>
    </row>
    <row r="899" spans="14:15" ht="15.5" x14ac:dyDescent="0.7">
      <c r="N899" s="86"/>
      <c r="O899" s="86"/>
    </row>
    <row r="900" spans="14:15" ht="15.5" x14ac:dyDescent="0.7">
      <c r="N900" s="86"/>
      <c r="O900" s="86"/>
    </row>
    <row r="901" spans="14:15" ht="15.5" x14ac:dyDescent="0.7">
      <c r="N901" s="86"/>
      <c r="O901" s="86"/>
    </row>
    <row r="902" spans="14:15" ht="15.5" x14ac:dyDescent="0.7">
      <c r="N902" s="86"/>
      <c r="O902" s="86"/>
    </row>
    <row r="903" spans="14:15" ht="15.5" x14ac:dyDescent="0.7">
      <c r="N903" s="86"/>
      <c r="O903" s="86"/>
    </row>
    <row r="904" spans="14:15" ht="15.5" x14ac:dyDescent="0.7">
      <c r="N904" s="86"/>
      <c r="O904" s="86"/>
    </row>
    <row r="905" spans="14:15" ht="15.5" x14ac:dyDescent="0.7">
      <c r="N905" s="86"/>
      <c r="O905" s="86"/>
    </row>
    <row r="906" spans="14:15" ht="15.5" x14ac:dyDescent="0.7">
      <c r="N906" s="86"/>
      <c r="O906" s="86"/>
    </row>
    <row r="907" spans="14:15" ht="15.5" x14ac:dyDescent="0.7">
      <c r="N907" s="86"/>
      <c r="O907" s="86"/>
    </row>
    <row r="908" spans="14:15" ht="15.5" x14ac:dyDescent="0.7">
      <c r="N908" s="86"/>
      <c r="O908" s="86"/>
    </row>
    <row r="909" spans="14:15" ht="15.5" x14ac:dyDescent="0.7">
      <c r="N909" s="86"/>
      <c r="O909" s="86"/>
    </row>
    <row r="910" spans="14:15" ht="15.5" x14ac:dyDescent="0.7">
      <c r="N910" s="86"/>
      <c r="O910" s="86"/>
    </row>
    <row r="911" spans="14:15" ht="15.5" x14ac:dyDescent="0.7">
      <c r="N911" s="86"/>
      <c r="O911" s="86"/>
    </row>
    <row r="912" spans="14:15" ht="15.5" x14ac:dyDescent="0.7">
      <c r="N912" s="86"/>
      <c r="O912" s="86"/>
    </row>
    <row r="913" spans="14:15" ht="15.5" x14ac:dyDescent="0.7">
      <c r="N913" s="86"/>
      <c r="O913" s="86"/>
    </row>
    <row r="914" spans="14:15" ht="15.5" x14ac:dyDescent="0.7">
      <c r="N914" s="86"/>
      <c r="O914" s="86"/>
    </row>
    <row r="915" spans="14:15" ht="15.5" x14ac:dyDescent="0.7">
      <c r="N915" s="86"/>
      <c r="O915" s="86"/>
    </row>
    <row r="916" spans="14:15" ht="15.5" x14ac:dyDescent="0.7">
      <c r="N916" s="86"/>
      <c r="O916" s="86"/>
    </row>
    <row r="917" spans="14:15" ht="15.5" x14ac:dyDescent="0.7">
      <c r="N917" s="86"/>
      <c r="O917" s="86"/>
    </row>
    <row r="918" spans="14:15" ht="15.5" x14ac:dyDescent="0.7">
      <c r="N918" s="86"/>
      <c r="O918" s="86"/>
    </row>
    <row r="919" spans="14:15" ht="15.5" x14ac:dyDescent="0.7">
      <c r="N919" s="86"/>
      <c r="O919" s="86"/>
    </row>
    <row r="920" spans="14:15" ht="15.5" x14ac:dyDescent="0.7">
      <c r="N920" s="86"/>
      <c r="O920" s="86"/>
    </row>
    <row r="921" spans="14:15" ht="15.5" x14ac:dyDescent="0.7">
      <c r="N921" s="86"/>
      <c r="O921" s="86"/>
    </row>
    <row r="922" spans="14:15" ht="15.5" x14ac:dyDescent="0.7">
      <c r="N922" s="86"/>
      <c r="O922" s="86"/>
    </row>
    <row r="923" spans="14:15" ht="15.5" x14ac:dyDescent="0.7">
      <c r="N923" s="86"/>
      <c r="O923" s="86"/>
    </row>
    <row r="924" spans="14:15" ht="15.5" x14ac:dyDescent="0.7">
      <c r="N924" s="86"/>
      <c r="O924" s="86"/>
    </row>
    <row r="925" spans="14:15" ht="15.5" x14ac:dyDescent="0.7">
      <c r="N925" s="86"/>
      <c r="O925" s="86"/>
    </row>
    <row r="926" spans="14:15" ht="15.5" x14ac:dyDescent="0.7">
      <c r="N926" s="86"/>
      <c r="O926" s="86"/>
    </row>
    <row r="927" spans="14:15" ht="15.5" x14ac:dyDescent="0.7">
      <c r="N927" s="86"/>
      <c r="O927" s="86"/>
    </row>
    <row r="928" spans="14:15" ht="15.5" x14ac:dyDescent="0.7">
      <c r="N928" s="86"/>
      <c r="O928" s="86"/>
    </row>
    <row r="929" spans="14:15" ht="15.5" x14ac:dyDescent="0.7">
      <c r="N929" s="86"/>
      <c r="O929" s="86"/>
    </row>
    <row r="930" spans="14:15" ht="15.5" x14ac:dyDescent="0.7">
      <c r="N930" s="86"/>
      <c r="O930" s="86"/>
    </row>
    <row r="931" spans="14:15" ht="15.5" x14ac:dyDescent="0.7">
      <c r="N931" s="86"/>
      <c r="O931" s="86"/>
    </row>
    <row r="932" spans="14:15" ht="15.5" x14ac:dyDescent="0.7">
      <c r="N932" s="86"/>
      <c r="O932" s="86"/>
    </row>
    <row r="933" spans="14:15" ht="15.5" x14ac:dyDescent="0.7">
      <c r="N933" s="86"/>
      <c r="O933" s="86"/>
    </row>
    <row r="934" spans="14:15" ht="15.5" x14ac:dyDescent="0.7">
      <c r="N934" s="86"/>
      <c r="O934" s="86"/>
    </row>
    <row r="935" spans="14:15" ht="15.5" x14ac:dyDescent="0.7">
      <c r="N935" s="86"/>
      <c r="O935" s="86"/>
    </row>
    <row r="936" spans="14:15" ht="15.5" x14ac:dyDescent="0.7">
      <c r="N936" s="86"/>
      <c r="O936" s="86"/>
    </row>
    <row r="937" spans="14:15" ht="15.5" x14ac:dyDescent="0.7">
      <c r="N937" s="86"/>
      <c r="O937" s="86"/>
    </row>
    <row r="938" spans="14:15" ht="15.5" x14ac:dyDescent="0.7">
      <c r="N938" s="86"/>
      <c r="O938" s="86"/>
    </row>
    <row r="939" spans="14:15" ht="15.5" x14ac:dyDescent="0.7">
      <c r="N939" s="86"/>
      <c r="O939" s="86"/>
    </row>
    <row r="940" spans="14:15" ht="15.5" x14ac:dyDescent="0.7">
      <c r="N940" s="86"/>
      <c r="O940" s="86"/>
    </row>
    <row r="941" spans="14:15" ht="15.5" x14ac:dyDescent="0.7">
      <c r="N941" s="86"/>
      <c r="O941" s="86"/>
    </row>
    <row r="942" spans="14:15" ht="15.5" x14ac:dyDescent="0.7">
      <c r="N942" s="86"/>
      <c r="O942" s="86"/>
    </row>
    <row r="943" spans="14:15" ht="15.5" x14ac:dyDescent="0.7">
      <c r="N943" s="86"/>
      <c r="O943" s="86"/>
    </row>
    <row r="944" spans="14:15" ht="15.5" x14ac:dyDescent="0.7">
      <c r="N944" s="86"/>
      <c r="O944" s="86"/>
    </row>
    <row r="945" spans="14:15" ht="15.5" x14ac:dyDescent="0.7">
      <c r="N945" s="86"/>
      <c r="O945" s="86"/>
    </row>
    <row r="946" spans="14:15" ht="15.5" x14ac:dyDescent="0.7">
      <c r="N946" s="86"/>
      <c r="O946" s="86"/>
    </row>
    <row r="947" spans="14:15" ht="15.5" x14ac:dyDescent="0.7">
      <c r="N947" s="86"/>
      <c r="O947" s="86"/>
    </row>
    <row r="948" spans="14:15" ht="15.5" x14ac:dyDescent="0.7">
      <c r="N948" s="86"/>
      <c r="O948" s="86"/>
    </row>
    <row r="949" spans="14:15" ht="15.5" x14ac:dyDescent="0.7">
      <c r="N949" s="86"/>
      <c r="O949" s="86"/>
    </row>
    <row r="950" spans="14:15" ht="15.5" x14ac:dyDescent="0.7">
      <c r="N950" s="86"/>
      <c r="O950" s="86"/>
    </row>
    <row r="951" spans="14:15" ht="15.5" x14ac:dyDescent="0.7">
      <c r="N951" s="86"/>
      <c r="O951" s="86"/>
    </row>
    <row r="952" spans="14:15" ht="15.5" x14ac:dyDescent="0.7">
      <c r="N952" s="86"/>
      <c r="O952" s="86"/>
    </row>
    <row r="953" spans="14:15" ht="15.5" x14ac:dyDescent="0.7">
      <c r="N953" s="86"/>
      <c r="O953" s="86"/>
    </row>
    <row r="954" spans="14:15" ht="15.5" x14ac:dyDescent="0.7">
      <c r="N954" s="86"/>
      <c r="O954" s="86"/>
    </row>
    <row r="955" spans="14:15" ht="15.5" x14ac:dyDescent="0.7">
      <c r="N955" s="86"/>
      <c r="O955" s="86"/>
    </row>
    <row r="956" spans="14:15" ht="15.5" x14ac:dyDescent="0.7">
      <c r="N956" s="86"/>
      <c r="O956" s="86"/>
    </row>
    <row r="957" spans="14:15" ht="15.5" x14ac:dyDescent="0.7">
      <c r="N957" s="86"/>
      <c r="O957" s="86"/>
    </row>
    <row r="958" spans="14:15" ht="15.5" x14ac:dyDescent="0.7">
      <c r="N958" s="86"/>
      <c r="O958" s="86"/>
    </row>
    <row r="959" spans="14:15" ht="15.5" x14ac:dyDescent="0.7">
      <c r="N959" s="86"/>
      <c r="O959" s="86"/>
    </row>
    <row r="960" spans="14:15" ht="15.5" x14ac:dyDescent="0.7">
      <c r="N960" s="86"/>
      <c r="O960" s="86"/>
    </row>
    <row r="961" spans="14:15" ht="15.5" x14ac:dyDescent="0.7">
      <c r="N961" s="86"/>
      <c r="O961" s="86"/>
    </row>
    <row r="962" spans="14:15" ht="15.5" x14ac:dyDescent="0.7">
      <c r="N962" s="86"/>
      <c r="O962" s="86"/>
    </row>
    <row r="963" spans="14:15" ht="15.5" x14ac:dyDescent="0.7">
      <c r="N963" s="86"/>
      <c r="O963" s="86"/>
    </row>
    <row r="964" spans="14:15" ht="15.5" x14ac:dyDescent="0.7">
      <c r="N964" s="86"/>
      <c r="O964" s="86"/>
    </row>
    <row r="965" spans="14:15" ht="15.5" x14ac:dyDescent="0.7">
      <c r="N965" s="86"/>
      <c r="O965" s="86"/>
    </row>
    <row r="966" spans="14:15" ht="15.5" x14ac:dyDescent="0.7">
      <c r="N966" s="86"/>
      <c r="O966" s="86"/>
    </row>
    <row r="967" spans="14:15" ht="15.5" x14ac:dyDescent="0.7">
      <c r="N967" s="86"/>
      <c r="O967" s="86"/>
    </row>
    <row r="968" spans="14:15" ht="15.5" x14ac:dyDescent="0.7">
      <c r="N968" s="86"/>
      <c r="O968" s="86"/>
    </row>
    <row r="969" spans="14:15" ht="15.5" x14ac:dyDescent="0.7">
      <c r="N969" s="86"/>
      <c r="O969" s="86"/>
    </row>
    <row r="970" spans="14:15" ht="15.5" x14ac:dyDescent="0.7">
      <c r="N970" s="86"/>
      <c r="O970" s="86"/>
    </row>
    <row r="971" spans="14:15" ht="15.5" x14ac:dyDescent="0.7">
      <c r="N971" s="86"/>
      <c r="O971" s="86"/>
    </row>
    <row r="972" spans="14:15" ht="15.5" x14ac:dyDescent="0.7">
      <c r="N972" s="86"/>
      <c r="O972" s="86"/>
    </row>
    <row r="973" spans="14:15" ht="15.5" x14ac:dyDescent="0.7">
      <c r="N973" s="86"/>
      <c r="O973" s="86"/>
    </row>
    <row r="974" spans="14:15" ht="15.5" x14ac:dyDescent="0.7">
      <c r="N974" s="86"/>
      <c r="O974" s="86"/>
    </row>
    <row r="975" spans="14:15" ht="15.5" x14ac:dyDescent="0.7">
      <c r="N975" s="86"/>
      <c r="O975" s="86"/>
    </row>
    <row r="976" spans="14:15" ht="15.5" x14ac:dyDescent="0.7">
      <c r="N976" s="86"/>
      <c r="O976" s="86"/>
    </row>
    <row r="977" spans="14:15" ht="15.5" x14ac:dyDescent="0.7">
      <c r="N977" s="86"/>
      <c r="O977" s="86"/>
    </row>
    <row r="978" spans="14:15" ht="15.5" x14ac:dyDescent="0.7">
      <c r="N978" s="86"/>
      <c r="O978" s="86"/>
    </row>
    <row r="979" spans="14:15" ht="15.5" x14ac:dyDescent="0.7">
      <c r="N979" s="86"/>
      <c r="O979" s="86"/>
    </row>
    <row r="980" spans="14:15" ht="15.5" x14ac:dyDescent="0.7">
      <c r="N980" s="86"/>
      <c r="O980" s="86"/>
    </row>
    <row r="981" spans="14:15" ht="15.5" x14ac:dyDescent="0.7">
      <c r="N981" s="86"/>
      <c r="O981" s="86"/>
    </row>
    <row r="982" spans="14:15" ht="15.5" x14ac:dyDescent="0.7">
      <c r="N982" s="86"/>
      <c r="O982" s="86"/>
    </row>
    <row r="983" spans="14:15" ht="15.5" x14ac:dyDescent="0.7">
      <c r="N983" s="86"/>
      <c r="O983" s="86"/>
    </row>
    <row r="984" spans="14:15" ht="15.5" x14ac:dyDescent="0.7">
      <c r="N984" s="86"/>
      <c r="O984" s="86"/>
    </row>
    <row r="985" spans="14:15" ht="15.5" x14ac:dyDescent="0.7">
      <c r="N985" s="86"/>
      <c r="O985" s="86"/>
    </row>
    <row r="986" spans="14:15" ht="15.5" x14ac:dyDescent="0.7">
      <c r="N986" s="86"/>
      <c r="O986" s="86"/>
    </row>
    <row r="987" spans="14:15" ht="15.5" x14ac:dyDescent="0.7">
      <c r="N987" s="86"/>
      <c r="O987" s="86"/>
    </row>
    <row r="988" spans="14:15" ht="15.5" x14ac:dyDescent="0.7">
      <c r="N988" s="86"/>
      <c r="O988" s="86"/>
    </row>
    <row r="989" spans="14:15" ht="15.5" x14ac:dyDescent="0.7">
      <c r="N989" s="86"/>
      <c r="O989" s="86"/>
    </row>
    <row r="990" spans="14:15" ht="15.5" x14ac:dyDescent="0.7">
      <c r="N990" s="86"/>
      <c r="O990" s="86"/>
    </row>
    <row r="991" spans="14:15" ht="15.5" x14ac:dyDescent="0.7">
      <c r="N991" s="86"/>
      <c r="O991" s="86"/>
    </row>
    <row r="992" spans="14:15" ht="15.5" x14ac:dyDescent="0.7">
      <c r="N992" s="86"/>
      <c r="O992" s="86"/>
    </row>
  </sheetData>
  <mergeCells count="52">
    <mergeCell ref="B30:C30"/>
    <mergeCell ref="J19:K19"/>
    <mergeCell ref="F15:M15"/>
    <mergeCell ref="D35:K35"/>
    <mergeCell ref="B12:D12"/>
    <mergeCell ref="F16:I17"/>
    <mergeCell ref="B13:D13"/>
    <mergeCell ref="F12:M12"/>
    <mergeCell ref="A47:O47"/>
    <mergeCell ref="O55:O56"/>
    <mergeCell ref="A46:D46"/>
    <mergeCell ref="L46:M46"/>
    <mergeCell ref="A49:I56"/>
    <mergeCell ref="K49:M49"/>
    <mergeCell ref="J54:M54"/>
    <mergeCell ref="J55:N56"/>
    <mergeCell ref="L53:M53"/>
    <mergeCell ref="K52:M52"/>
    <mergeCell ref="K51:M51"/>
    <mergeCell ref="J50:M50"/>
    <mergeCell ref="A36:A39"/>
    <mergeCell ref="M21:O21"/>
    <mergeCell ref="L35:M35"/>
    <mergeCell ref="A40:B40"/>
    <mergeCell ref="F10:M11"/>
    <mergeCell ref="B16:D17"/>
    <mergeCell ref="M16:O17"/>
    <mergeCell ref="M18:O19"/>
    <mergeCell ref="E18:I19"/>
    <mergeCell ref="B25:C25"/>
    <mergeCell ref="A35:B35"/>
    <mergeCell ref="L40:M40"/>
    <mergeCell ref="B18:B19"/>
    <mergeCell ref="F13:M13"/>
    <mergeCell ref="F14:M14"/>
    <mergeCell ref="B15:D15"/>
    <mergeCell ref="M5:O5"/>
    <mergeCell ref="A23:A34"/>
    <mergeCell ref="J7:K7"/>
    <mergeCell ref="J9:K9"/>
    <mergeCell ref="B14:D14"/>
    <mergeCell ref="L25:M25"/>
    <mergeCell ref="F5:I5"/>
    <mergeCell ref="M6:O7"/>
    <mergeCell ref="L30:M30"/>
    <mergeCell ref="E21:K21"/>
    <mergeCell ref="B21:D21"/>
    <mergeCell ref="F6:I7"/>
    <mergeCell ref="B7:D8"/>
    <mergeCell ref="F8:I9"/>
    <mergeCell ref="B10:D11"/>
    <mergeCell ref="M8:O9"/>
  </mergeCells>
  <phoneticPr fontId="3" type="noConversion"/>
  <hyperlinks>
    <hyperlink ref="M8" r:id="rId1" xr:uid="{94F57201-4C7D-4621-9529-391AC87EC993}"/>
  </hyperlinks>
  <pageMargins left="6.7733990147783293E-2" right="0.17610837438423599" top="8.1280788177339899E-2" bottom="0" header="0" footer="0"/>
  <pageSetup scale="26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Airfeet Order Form</vt:lpstr>
      <vt:lpstr>'Airfeet Order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KELLY WALKER</cp:lastModifiedBy>
  <cp:lastPrinted>2021-08-05T00:06:05Z</cp:lastPrinted>
  <dcterms:created xsi:type="dcterms:W3CDTF">2019-04-10T21:00:39Z</dcterms:created>
  <dcterms:modified xsi:type="dcterms:W3CDTF">2025-08-11T19:32:15Z</dcterms:modified>
</cp:coreProperties>
</file>